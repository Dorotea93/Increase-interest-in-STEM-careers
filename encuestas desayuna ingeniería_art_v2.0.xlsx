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uario\Desktop\Trabajo_UNI\Gemelos digitales\Articulos\EDucacion\"/>
    </mc:Choice>
  </mc:AlternateContent>
  <xr:revisionPtr revIDLastSave="0" documentId="13_ncr:1_{34C8325D-0E3B-43D5-A50F-E54A8F1CD48A}" xr6:coauthVersionLast="47" xr6:coauthVersionMax="47" xr10:uidLastSave="{00000000-0000-0000-0000-000000000000}"/>
  <bookViews>
    <workbookView xWindow="-108" yWindow="-108" windowWidth="23256" windowHeight="12456" xr2:uid="{947D465B-EF25-4A69-A7B7-AAF267D68ADB}"/>
  </bookViews>
  <sheets>
    <sheet name="Resultados globales" sheetId="4" r:id="rId1"/>
    <sheet name="Hoja1" sheetId="5" r:id="rId2"/>
  </sheets>
  <definedNames>
    <definedName name="_xlnm._FilterDatabase" localSheetId="0" hidden="1">'Resultados globales'!$A$1:$BJ$585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E3" i="4" l="1"/>
  <c r="BE4" i="4"/>
  <c r="BE5" i="4"/>
  <c r="BE6" i="4"/>
  <c r="BE7" i="4"/>
  <c r="BE8" i="4"/>
  <c r="BE9" i="4"/>
  <c r="BE10" i="4"/>
  <c r="BE11" i="4"/>
  <c r="BE12" i="4"/>
  <c r="BE13" i="4"/>
  <c r="BE14" i="4"/>
  <c r="BE15" i="4"/>
  <c r="BE16" i="4"/>
  <c r="BE17" i="4"/>
  <c r="BE18" i="4"/>
  <c r="BE19" i="4"/>
  <c r="BE20" i="4"/>
  <c r="BE21" i="4"/>
  <c r="BE22" i="4"/>
  <c r="BE23" i="4"/>
  <c r="BE24" i="4"/>
  <c r="BE25" i="4"/>
  <c r="BE26" i="4"/>
  <c r="BE27" i="4"/>
  <c r="BE28" i="4"/>
  <c r="BE29" i="4"/>
  <c r="BE32" i="4"/>
  <c r="BE34" i="4"/>
  <c r="BE35" i="4"/>
  <c r="BE36" i="4"/>
  <c r="BE37" i="4"/>
  <c r="BE38" i="4"/>
  <c r="BE39" i="4"/>
  <c r="BE40" i="4"/>
  <c r="BE41" i="4"/>
  <c r="BE42" i="4"/>
  <c r="BE43" i="4"/>
  <c r="BE45" i="4"/>
  <c r="BE47" i="4"/>
  <c r="BE48" i="4"/>
  <c r="BE49" i="4"/>
  <c r="BE51" i="4"/>
  <c r="BE52" i="4"/>
  <c r="BE53" i="4"/>
  <c r="BE54" i="4"/>
  <c r="BE55" i="4"/>
  <c r="BE56" i="4"/>
  <c r="BE57" i="4"/>
  <c r="BE58" i="4"/>
  <c r="BE60" i="4"/>
  <c r="BE62" i="4"/>
  <c r="BE63" i="4"/>
  <c r="BE64" i="4"/>
  <c r="BE65" i="4"/>
  <c r="BE66" i="4"/>
  <c r="BE67" i="4"/>
  <c r="BE68" i="4"/>
  <c r="BE69" i="4"/>
  <c r="BE70" i="4"/>
  <c r="BE71" i="4"/>
  <c r="BE72" i="4"/>
  <c r="BE73" i="4"/>
  <c r="BE74" i="4"/>
  <c r="BE75" i="4"/>
  <c r="BE76" i="4"/>
  <c r="BE77" i="4"/>
  <c r="BE80" i="4"/>
  <c r="BE81" i="4"/>
  <c r="BE82" i="4"/>
  <c r="BE83" i="4"/>
  <c r="BE84" i="4"/>
  <c r="BE85" i="4"/>
  <c r="BE86" i="4"/>
  <c r="BE87" i="4"/>
  <c r="BE88" i="4"/>
  <c r="BE89" i="4"/>
  <c r="BE90" i="4"/>
  <c r="BE91" i="4"/>
  <c r="BE92" i="4"/>
  <c r="BE93" i="4"/>
  <c r="BE94" i="4"/>
  <c r="BE95" i="4"/>
  <c r="BE96" i="4"/>
  <c r="BE97" i="4"/>
  <c r="BE98" i="4"/>
  <c r="BE99" i="4"/>
  <c r="BE100" i="4"/>
  <c r="BE101" i="4"/>
  <c r="BE102" i="4"/>
  <c r="BE103" i="4"/>
  <c r="BE104" i="4"/>
  <c r="BE105" i="4"/>
  <c r="BE106" i="4"/>
  <c r="BE107" i="4"/>
  <c r="BE108" i="4"/>
  <c r="BE109" i="4"/>
  <c r="BE110" i="4"/>
  <c r="BE111" i="4"/>
  <c r="BE112" i="4"/>
  <c r="BE113" i="4"/>
  <c r="BE114" i="4"/>
  <c r="BE115" i="4"/>
  <c r="BE116" i="4"/>
  <c r="BE117" i="4"/>
  <c r="BE119" i="4"/>
  <c r="BE120" i="4"/>
  <c r="BE122" i="4"/>
  <c r="BE123" i="4"/>
  <c r="BE126" i="4"/>
  <c r="BE129" i="4"/>
  <c r="BE131" i="4"/>
  <c r="BE132" i="4"/>
  <c r="BE133" i="4"/>
  <c r="BE134" i="4"/>
  <c r="BE135" i="4"/>
  <c r="BE136" i="4"/>
  <c r="BE137" i="4"/>
  <c r="BE138" i="4"/>
  <c r="BE139" i="4"/>
  <c r="BE142" i="4"/>
  <c r="BE143" i="4"/>
  <c r="BE144" i="4"/>
  <c r="BE146" i="4"/>
  <c r="BE148" i="4"/>
  <c r="BE150" i="4"/>
  <c r="BE151" i="4"/>
  <c r="BE152" i="4"/>
  <c r="BE155" i="4"/>
  <c r="BE157" i="4"/>
  <c r="BE158" i="4"/>
  <c r="BE159" i="4"/>
  <c r="BE160" i="4"/>
  <c r="BE161" i="4"/>
  <c r="BE162" i="4"/>
  <c r="BE163" i="4"/>
  <c r="BE164" i="4"/>
  <c r="BE165" i="4"/>
  <c r="BE166" i="4"/>
  <c r="BE167" i="4"/>
  <c r="BE169" i="4"/>
  <c r="BE170" i="4"/>
  <c r="BE171" i="4"/>
  <c r="BE172" i="4"/>
  <c r="BE173" i="4"/>
  <c r="BE174" i="4"/>
  <c r="BE176" i="4"/>
  <c r="BE177" i="4"/>
  <c r="BE179" i="4"/>
  <c r="BE181" i="4"/>
  <c r="BE183" i="4"/>
  <c r="BE184" i="4"/>
  <c r="BE185" i="4"/>
  <c r="BE186" i="4"/>
  <c r="BE187" i="4"/>
  <c r="BE188" i="4"/>
  <c r="BE189" i="4"/>
  <c r="BE190" i="4"/>
  <c r="BE191" i="4"/>
  <c r="BE192" i="4"/>
  <c r="BE193" i="4"/>
  <c r="BE195" i="4"/>
  <c r="BE198" i="4"/>
  <c r="BE199" i="4"/>
  <c r="BE200" i="4"/>
  <c r="BE201" i="4"/>
  <c r="BE202" i="4"/>
  <c r="BE204" i="4"/>
  <c r="BE205" i="4"/>
  <c r="BE206" i="4"/>
  <c r="BE207" i="4"/>
  <c r="BE208" i="4"/>
  <c r="BE209" i="4"/>
  <c r="BE210" i="4"/>
  <c r="BE211" i="4"/>
  <c r="BE213" i="4"/>
  <c r="BE214" i="4"/>
  <c r="BE215" i="4"/>
  <c r="BE216" i="4"/>
  <c r="BE217" i="4"/>
  <c r="BE218" i="4"/>
  <c r="BE219" i="4"/>
  <c r="BE222" i="4"/>
  <c r="BE224" i="4"/>
  <c r="BE226" i="4"/>
  <c r="BE229" i="4"/>
  <c r="BE232" i="4"/>
  <c r="BE233" i="4"/>
  <c r="BE234" i="4"/>
  <c r="BE236" i="4"/>
  <c r="BE237" i="4"/>
  <c r="BE240" i="4"/>
  <c r="BE241" i="4"/>
  <c r="BE242" i="4"/>
  <c r="BE243" i="4"/>
  <c r="BE244" i="4"/>
  <c r="BE245" i="4"/>
  <c r="BE246" i="4"/>
  <c r="BE247" i="4"/>
  <c r="BE248" i="4"/>
  <c r="BE249" i="4"/>
  <c r="BE251" i="4"/>
  <c r="BE252" i="4"/>
  <c r="BE253" i="4"/>
  <c r="BE254" i="4"/>
  <c r="BE255" i="4"/>
  <c r="BE256" i="4"/>
  <c r="BE257" i="4"/>
  <c r="BE258" i="4"/>
  <c r="BE260" i="4"/>
  <c r="BE2" i="4"/>
  <c r="BD2" i="4"/>
  <c r="BD4" i="4"/>
  <c r="BD5" i="4"/>
  <c r="BD6" i="4"/>
  <c r="BD7" i="4"/>
  <c r="BD8" i="4"/>
  <c r="BD9" i="4"/>
  <c r="BD10" i="4"/>
  <c r="BD11" i="4"/>
  <c r="BD12" i="4"/>
  <c r="BD13" i="4"/>
  <c r="BD14" i="4"/>
  <c r="BD15" i="4"/>
  <c r="BD16" i="4"/>
  <c r="BD17" i="4"/>
  <c r="BD18" i="4"/>
  <c r="BD19" i="4"/>
  <c r="BD20" i="4"/>
  <c r="BD21" i="4"/>
  <c r="BD22" i="4"/>
  <c r="BD23" i="4"/>
  <c r="BD24" i="4"/>
  <c r="BD25" i="4"/>
  <c r="BD26" i="4"/>
  <c r="BD27" i="4"/>
  <c r="BD28" i="4"/>
  <c r="BD29" i="4"/>
  <c r="BD30" i="4"/>
  <c r="BD31" i="4"/>
  <c r="BD32" i="4"/>
  <c r="BD33" i="4"/>
  <c r="BD34" i="4"/>
  <c r="BD35" i="4"/>
  <c r="BD36" i="4"/>
  <c r="BD37" i="4"/>
  <c r="BD38" i="4"/>
  <c r="BD39" i="4"/>
  <c r="BD40" i="4"/>
  <c r="BD41" i="4"/>
  <c r="BD42" i="4"/>
  <c r="BD43" i="4"/>
  <c r="BD44" i="4"/>
  <c r="BD45" i="4"/>
  <c r="BD46" i="4"/>
  <c r="BD47" i="4"/>
  <c r="BD48" i="4"/>
  <c r="BD49" i="4"/>
  <c r="BD50" i="4"/>
  <c r="BD51" i="4"/>
  <c r="BD52" i="4"/>
  <c r="BD53" i="4"/>
  <c r="BD54" i="4"/>
  <c r="BD55" i="4"/>
  <c r="BD56" i="4"/>
  <c r="BD57" i="4"/>
  <c r="BD58" i="4"/>
  <c r="BD59" i="4"/>
  <c r="BD60" i="4"/>
  <c r="BD61" i="4"/>
  <c r="BD62" i="4"/>
  <c r="BD63" i="4"/>
  <c r="BD64" i="4"/>
  <c r="BD65" i="4"/>
  <c r="BD66" i="4"/>
  <c r="BD67" i="4"/>
  <c r="BD68" i="4"/>
  <c r="BD69" i="4"/>
  <c r="BD70" i="4"/>
  <c r="BD71" i="4"/>
  <c r="BD72" i="4"/>
  <c r="BD73" i="4"/>
  <c r="BD74" i="4"/>
  <c r="BD75" i="4"/>
  <c r="BD76" i="4"/>
  <c r="BD77" i="4"/>
  <c r="BD78" i="4"/>
  <c r="BD79" i="4"/>
  <c r="BD80" i="4"/>
  <c r="BD81" i="4"/>
  <c r="BD82" i="4"/>
  <c r="BD83" i="4"/>
  <c r="BD84" i="4"/>
  <c r="BD85" i="4"/>
  <c r="BD86" i="4"/>
  <c r="BD87" i="4"/>
  <c r="BD88" i="4"/>
  <c r="BD89" i="4"/>
  <c r="BD90" i="4"/>
  <c r="BD91" i="4"/>
  <c r="BD92" i="4"/>
  <c r="BD93" i="4"/>
  <c r="BD94" i="4"/>
  <c r="BD95" i="4"/>
  <c r="BD96" i="4"/>
  <c r="BD97" i="4"/>
  <c r="BD98" i="4"/>
  <c r="BD99" i="4"/>
  <c r="BD100" i="4"/>
  <c r="BD101" i="4"/>
  <c r="BD102" i="4"/>
  <c r="BD103" i="4"/>
  <c r="BD104" i="4"/>
  <c r="BD105" i="4"/>
  <c r="BD106" i="4"/>
  <c r="BD107" i="4"/>
  <c r="BD108" i="4"/>
  <c r="BD109" i="4"/>
  <c r="BD110" i="4"/>
  <c r="BD111" i="4"/>
  <c r="BD112" i="4"/>
  <c r="BD113" i="4"/>
  <c r="BD114" i="4"/>
  <c r="BD115" i="4"/>
  <c r="BD116" i="4"/>
  <c r="BD117" i="4"/>
  <c r="BD118" i="4"/>
  <c r="BD119" i="4"/>
  <c r="BD120" i="4"/>
  <c r="BD121" i="4"/>
  <c r="BD122" i="4"/>
  <c r="BD123" i="4"/>
  <c r="BD124" i="4"/>
  <c r="BD125" i="4"/>
  <c r="BD126" i="4"/>
  <c r="BD127" i="4"/>
  <c r="BD128" i="4"/>
  <c r="BD129" i="4"/>
  <c r="BD130" i="4"/>
  <c r="BD131" i="4"/>
  <c r="BD132" i="4"/>
  <c r="BD133" i="4"/>
  <c r="BD134" i="4"/>
  <c r="BD135" i="4"/>
  <c r="BD136" i="4"/>
  <c r="BD137" i="4"/>
  <c r="BD138" i="4"/>
  <c r="BD139" i="4"/>
  <c r="BD140" i="4"/>
  <c r="BD141" i="4"/>
  <c r="BD142" i="4"/>
  <c r="BD143" i="4"/>
  <c r="BD144" i="4"/>
  <c r="BD145" i="4"/>
  <c r="BD146" i="4"/>
  <c r="BD147" i="4"/>
  <c r="BD148" i="4"/>
  <c r="BD149" i="4"/>
  <c r="BD150" i="4"/>
  <c r="BD151" i="4"/>
  <c r="BD152" i="4"/>
  <c r="BD153" i="4"/>
  <c r="BD154" i="4"/>
  <c r="BD155" i="4"/>
  <c r="BD156" i="4"/>
  <c r="BD157" i="4"/>
  <c r="BD158" i="4"/>
  <c r="BD159" i="4"/>
  <c r="BD160" i="4"/>
  <c r="BD161" i="4"/>
  <c r="BD162" i="4"/>
  <c r="BD163" i="4"/>
  <c r="BD164" i="4"/>
  <c r="BD165" i="4"/>
  <c r="BD166" i="4"/>
  <c r="BD167" i="4"/>
  <c r="BD168" i="4"/>
  <c r="BD169" i="4"/>
  <c r="BD170" i="4"/>
  <c r="BD171" i="4"/>
  <c r="BD172" i="4"/>
  <c r="BD173" i="4"/>
  <c r="BD174" i="4"/>
  <c r="BD175" i="4"/>
  <c r="BD176" i="4"/>
  <c r="BD177" i="4"/>
  <c r="BD178" i="4"/>
  <c r="BD179" i="4"/>
  <c r="BD180" i="4"/>
  <c r="BD181" i="4"/>
  <c r="BD182" i="4"/>
  <c r="BD183" i="4"/>
  <c r="BD184" i="4"/>
  <c r="BD185" i="4"/>
  <c r="BD186" i="4"/>
  <c r="BD187" i="4"/>
  <c r="BD188" i="4"/>
  <c r="BD189" i="4"/>
  <c r="BD190" i="4"/>
  <c r="BD191" i="4"/>
  <c r="BD192" i="4"/>
  <c r="BD193" i="4"/>
  <c r="BD194" i="4"/>
  <c r="BD195" i="4"/>
  <c r="BD196" i="4"/>
  <c r="BD197" i="4"/>
  <c r="BD198" i="4"/>
  <c r="BD199" i="4"/>
  <c r="BD200" i="4"/>
  <c r="BD201" i="4"/>
  <c r="BD202" i="4"/>
  <c r="BD203" i="4"/>
  <c r="BD204" i="4"/>
  <c r="BD205" i="4"/>
  <c r="BD206" i="4"/>
  <c r="BD207" i="4"/>
  <c r="BD208" i="4"/>
  <c r="BD209" i="4"/>
  <c r="BD210" i="4"/>
  <c r="BD211" i="4"/>
  <c r="BD212" i="4"/>
  <c r="BD213" i="4"/>
  <c r="BD214" i="4"/>
  <c r="BD215" i="4"/>
  <c r="BD216" i="4"/>
  <c r="BD217" i="4"/>
  <c r="BD218" i="4"/>
  <c r="BD219" i="4"/>
  <c r="BD220" i="4"/>
  <c r="BD221" i="4"/>
  <c r="BD222" i="4"/>
  <c r="BD223" i="4"/>
  <c r="BD224" i="4"/>
  <c r="BD225" i="4"/>
  <c r="BD226" i="4"/>
  <c r="BD227" i="4"/>
  <c r="BD228" i="4"/>
  <c r="BD229" i="4"/>
  <c r="BD230" i="4"/>
  <c r="BD231" i="4"/>
  <c r="BD232" i="4"/>
  <c r="BD233" i="4"/>
  <c r="BD234" i="4"/>
  <c r="BD235" i="4"/>
  <c r="BD236" i="4"/>
  <c r="BD237" i="4"/>
  <c r="BD238" i="4"/>
  <c r="BD239" i="4"/>
  <c r="BD240" i="4"/>
  <c r="BD241" i="4"/>
  <c r="BD242" i="4"/>
  <c r="BD243" i="4"/>
  <c r="BD244" i="4"/>
  <c r="BD245" i="4"/>
  <c r="BD246" i="4"/>
  <c r="BD247" i="4"/>
  <c r="BD248" i="4"/>
  <c r="BD249" i="4"/>
  <c r="BD250" i="4"/>
  <c r="BD251" i="4"/>
  <c r="BD252" i="4"/>
  <c r="BD253" i="4"/>
  <c r="BD254" i="4"/>
  <c r="BD255" i="4"/>
  <c r="BD256" i="4"/>
  <c r="BD257" i="4"/>
  <c r="BD258" i="4"/>
  <c r="BD259" i="4"/>
  <c r="BD260" i="4"/>
  <c r="BD3" i="4"/>
</calcChain>
</file>

<file path=xl/sharedStrings.xml><?xml version="1.0" encoding="utf-8"?>
<sst xmlns="http://schemas.openxmlformats.org/spreadsheetml/2006/main" count="4998" uniqueCount="1333">
  <si>
    <t>¿La atención recibida en la Escuela de Ingenierías Industriales ha sido la adecuada?</t>
  </si>
  <si>
    <t>¿El profesor/a fomentó la participación activa en el taller de DronLab?</t>
  </si>
  <si>
    <t>¿Cuál es su satisfacción con el taller de DronLab?</t>
  </si>
  <si>
    <t>¿El profesor/a fomentó la participación activa en el taller de Biotech medical simulation?</t>
  </si>
  <si>
    <t>¿Cuál es su satisfacción con el taller de Biotech medical simulation</t>
  </si>
  <si>
    <t>¿Cuál es su satisfacción con el taller de Escápate de la biblioteca?</t>
  </si>
  <si>
    <t>¿El profesor/a fomentó la participación activa en el taller de UNEX Motorsport?</t>
  </si>
  <si>
    <t>¿Cuál es su satisfacción con el taller de UNEX Motorsport?</t>
  </si>
  <si>
    <t>¿El profesor/a fomentó la participación activa en el taller de Mundo 3D?</t>
  </si>
  <si>
    <t>¿Estudiar Ingeniería está entre sus planes de futuro?</t>
  </si>
  <si>
    <t>¿La Escuela de Ingenierías Industriales de Badajoz está entre sus preferencias?</t>
  </si>
  <si>
    <t>¿Le ha motivado la visita a la Escuela para plantearse estudiar ingeniería?</t>
  </si>
  <si>
    <t>¿Recomendaría la Escuela de Ingenierías Industriales de Badajoz para cursar ingeniería?</t>
  </si>
  <si>
    <t>¿Qué es lo que más le ha gustado de la visita?</t>
  </si>
  <si>
    <t>¿Qué es lo que menos le ha gustado de la visita?</t>
  </si>
  <si>
    <t>Indique aquellos aspectos que cree necesarios para mejorar la visita.</t>
  </si>
  <si>
    <t>Femenino</t>
  </si>
  <si>
    <t>No</t>
  </si>
  <si>
    <t>Tal vez</t>
  </si>
  <si>
    <t>el de desayuno</t>
  </si>
  <si>
    <t>nos metia mucha prisa</t>
  </si>
  <si>
    <t>tener mas tiempo</t>
  </si>
  <si>
    <t>Sí</t>
  </si>
  <si>
    <t>los talleres</t>
  </si>
  <si>
    <t>nada</t>
  </si>
  <si>
    <t>me gustó todo</t>
  </si>
  <si>
    <t>Masculino</t>
  </si>
  <si>
    <t>La participacion en los tayeres</t>
  </si>
  <si>
    <t>Nada</t>
  </si>
  <si>
    <t>Hacer tayeres más divertidos con más actividad</t>
  </si>
  <si>
    <t>El mundo 3D</t>
  </si>
  <si>
    <t>Nose</t>
  </si>
  <si>
    <t>Los talleres.</t>
  </si>
  <si>
    <t>Nada, todo me gusto mucho.</t>
  </si>
  <si>
    <t>No creo que sea necesario mejorar nada, me lo pasé muy bien.</t>
  </si>
  <si>
    <t>el desayuno</t>
  </si>
  <si>
    <t>nos metian mucha prisa y siempre elegian a los mismos para participar, no hice nada 😭</t>
  </si>
  <si>
    <t>que participen todos los alumnos y más tiempo</t>
  </si>
  <si>
    <t>Buena escuela</t>
  </si>
  <si>
    <t>El mundo 3d de las gafas y los drones</t>
  </si>
  <si>
    <t>El escabe de la biblioteca</t>
  </si>
  <si>
    <t>Mas actividades</t>
  </si>
  <si>
    <t>Informarme sobre las cosas que se estudian y las posibilidades que tienes de salir a estudiar fuera (ERASMUS)</t>
  </si>
  <si>
    <t>El taller del mundo 3D</t>
  </si>
  <si>
    <t>Más tiempo para cada taller</t>
  </si>
  <si>
    <t>Los lanzamientos de cohetes</t>
  </si>
  <si>
    <t>El taller 3D</t>
  </si>
  <si>
    <t>Más tiempo</t>
  </si>
  <si>
    <t>Las instalaciones</t>
  </si>
  <si>
    <t>El taller de Dron-lab</t>
  </si>
  <si>
    <t>Hacer algunos talleres más interactivos</t>
  </si>
  <si>
    <t>Escápate de la biblioteca</t>
  </si>
  <si>
    <t>3D</t>
  </si>
  <si>
    <t>Que la actividad 3D sea más rápida e interactiva</t>
  </si>
  <si>
    <t>Aprender sobre las diversas ramas de conocimiento que enseña la universidad y sus aplicaciones dentro y fuera de ella</t>
  </si>
  <si>
    <t>Tener que estar de pie tanto</t>
  </si>
  <si>
    <t>Sillas</t>
  </si>
  <si>
    <t>motor sport</t>
  </si>
  <si>
    <t>lo de la medicina</t>
  </si>
  <si>
    <t>poder diseñar algo en 3d</t>
  </si>
  <si>
    <t>El trato que nos han brindando.</t>
  </si>
  <si>
    <t>Nada.</t>
  </si>
  <si>
    <t>El trato</t>
  </si>
  <si>
    <t>MotorLab. Muy logrado el proyecto, y unos estudiantes increíbles.</t>
  </si>
  <si>
    <t>DronLab.</t>
  </si>
  <si>
    <t>DronLab, que sea mas dinámico, se hace pesado</t>
  </si>
  <si>
    <t>El escape de la biblioteca</t>
  </si>
  <si>
    <t>El dron</t>
  </si>
  <si>
    <t>Que los sitios estuvieran menos lejos</t>
  </si>
  <si>
    <t>El motosport y la gente</t>
  </si>
  <si>
    <t>Dronlab pero no estuvo mal</t>
  </si>
  <si>
    <t>Dedicar mas tiempo a las actividades</t>
  </si>
  <si>
    <t>medicina industrial</t>
  </si>
  <si>
    <t>me ha gustado todo</t>
  </si>
  <si>
    <t>El motorsport</t>
  </si>
  <si>
    <t>Que hemos podido dedicar muy poco tiempo a las actividades</t>
  </si>
  <si>
    <t>Aumentar el tiempo de las actividades</t>
  </si>
  <si>
    <t>La amabilidad y las capacidades de los estudiantes y trabajadores</t>
  </si>
  <si>
    <t>Mundo 3D</t>
  </si>
  <si>
    <t>La fluidez al hablar</t>
  </si>
  <si>
    <t>Que se estudiará gestión de empresas y economía</t>
  </si>
  <si>
    <t>Me ha gustado la comida y la recompensa por participar en el taller de la medicina</t>
  </si>
  <si>
    <t>Estar de pie en casi todos los talleres</t>
  </si>
  <si>
    <t>el taller de escápate de la biblioteca</t>
  </si>
  <si>
    <t>algunos talleres en los q solo veíamos o escuchábamos y no participábamos</t>
  </si>
  <si>
    <t>más talleres interactivos</t>
  </si>
  <si>
    <t>Los talleres</t>
  </si>
  <si>
    <t>El autobus</t>
  </si>
  <si>
    <t>Mas participacion</t>
  </si>
  <si>
    <t>Me gustaron mucho las instalaciones</t>
  </si>
  <si>
    <t>Me gustaría haber dedicado más tiempo más tiempo a las actividades</t>
  </si>
  <si>
    <t>El tiempo</t>
  </si>
  <si>
    <t>Medicina industrial</t>
  </si>
  <si>
    <t>Me ha gustado todo</t>
  </si>
  <si>
    <t>Estaba todo bien</t>
  </si>
  <si>
    <t>Las actividades de escapa de la biblioteca y el mundo 3D</t>
  </si>
  <si>
    <t>El trato de las personas en general</t>
  </si>
  <si>
    <t>Todo bien</t>
  </si>
  <si>
    <t>Motorsport</t>
  </si>
  <si>
    <t>nada está muy bien</t>
  </si>
  <si>
    <t>Los drones</t>
  </si>
  <si>
    <t>Los modelos 3d</t>
  </si>
  <si>
    <t>Que me guste mas estudiar esa carrera</t>
  </si>
  <si>
    <t>La visita a UnexMotorSport</t>
  </si>
  <si>
    <t>La teoría del túnel de viento</t>
  </si>
  <si>
    <t>Que intente hacer la clase teórica más divertida</t>
  </si>
  <si>
    <t>No poder sentarnos en algunos talleres</t>
  </si>
  <si>
    <t>Depende de qué tipo de ingeniería estudie, en principio me gustaría aeronáutica o aeroespacial, pero en el caso de que sea ingeniería industrial probablemente valoraré esta escuela por su gran calidad y increíble trato por parte de alumnos y profesores.</t>
  </si>
  <si>
    <t>El buen trato de alumnos y profesores y los talleres, los cuales trataron temas muy interesantes.</t>
  </si>
  <si>
    <t>A la actividad de mundo 3D llegamos con algo de retraso y no nos dio tiempo a probar todas las actividades, a pesar de ello fue muy interesante y novedoso.</t>
  </si>
  <si>
    <t>Aumentar ligeramente el tiempo en cada taller, aunque muy buena visita.</t>
  </si>
  <si>
    <t>Que me gustará mas</t>
  </si>
  <si>
    <t>Escape de la biblioteca</t>
  </si>
  <si>
    <t>Ninguno</t>
  </si>
  <si>
    <t>¿El profesor/a fomentó la participación activa en el taller de FabLab?</t>
  </si>
  <si>
    <t>¿Cuál es su satisfacción con el taller de FabLab?</t>
  </si>
  <si>
    <t>¿El profesor/a fomentó la participación activa en el taller de Prevención de riesgos laborables?</t>
  </si>
  <si>
    <t>¿Cuál es su satisfacción con el taller de Prevención de riesgos laborables?</t>
  </si>
  <si>
    <t>¿El profesor/a fomentó la participación activa en el taller de Laboratorio de electrónica?</t>
  </si>
  <si>
    <t>¿Cuál es su satisfacción con el taller de Laboratorio de electrónica?</t>
  </si>
  <si>
    <t>¿El profesor/a fomentó la participación activa en el taller de Gestión de residuos?</t>
  </si>
  <si>
    <t>¿Cuál es su satisfacción con el taller Gestión de residuos ?</t>
  </si>
  <si>
    <t>¿El profesor/a fomentó la participación activa en el taller de Ingeniería práctica?</t>
  </si>
  <si>
    <t>¿Cuál es su satisfacción con el taller Ingeniería práctica?</t>
  </si>
  <si>
    <t>¿El profesor/a fomentó la participación activa en el taller de Escápate de la
biblioteca?</t>
  </si>
  <si>
    <t>¿Cuál es su satisfacción con el taller de equipos de combustión de Mundo 3D?</t>
  </si>
  <si>
    <t>¿El profesor/a fomentó la participación activa en el taller de equipos de Máquinas hidráulicas?</t>
  </si>
  <si>
    <t>¿El profesor/a fomentó la participación activa en el taller de Energías renovables?</t>
  </si>
  <si>
    <t>¿Cuál es su satisfacción con el taller de  Energías renovables?</t>
  </si>
  <si>
    <t>¿El profesor/a fomentó la participación activa en el taller de Legos?</t>
  </si>
  <si>
    <t>¿Cuál es su satisfacción con el taller de prevención de Legos?</t>
  </si>
  <si>
    <t>¿El profesor/a fomentó la participación activa en el taller de Tragarse al cirujano Micro robots para aplicaciones médicas?</t>
  </si>
  <si>
    <t>¿Cuál es su satisfacción con el taller de Tragarse al cirujano Micro robots para aplicaciones médicas?</t>
  </si>
  <si>
    <t>¿El profesor/a fomentó la participación activa en el taller de Ciencia de los materiales?</t>
  </si>
  <si>
    <t>¿Cuál es su satisfacción con el taller de Ciencia de los materiales?</t>
  </si>
  <si>
    <t>La atención</t>
  </si>
  <si>
    <t>La práctica del cohete</t>
  </si>
  <si>
    <t>Las charlas</t>
  </si>
  <si>
    <t>Las charlas, hacerlas más dinámicas</t>
  </si>
  <si>
    <t>No sabría decir</t>
  </si>
  <si>
    <t>DronLab</t>
  </si>
  <si>
    <t>Biotech</t>
  </si>
  <si>
    <t>todo</t>
  </si>
  <si>
    <t>La formula stident</t>
  </si>
  <si>
    <t>Más practica</t>
  </si>
  <si>
    <t>UNED Mototsport</t>
  </si>
  <si>
    <t>Menos charlas</t>
  </si>
  <si>
    <t>Todo</t>
  </si>
  <si>
    <t>Las actividades</t>
  </si>
  <si>
    <t>Las practicas</t>
  </si>
  <si>
    <t>Los microchips</t>
  </si>
  <si>
    <t>Que era corta</t>
  </si>
  <si>
    <t>Creo que todo está bien</t>
  </si>
  <si>
    <t>Electricidad</t>
  </si>
  <si>
    <t>El FabLab</t>
  </si>
  <si>
    <t>Nada me gustó todo</t>
  </si>
  <si>
    <t>No estudiar Conservatorio Superior</t>
  </si>
  <si>
    <t>Las máquinas</t>
  </si>
  <si>
    <t>Que no se han podido visitar todas las charlas</t>
  </si>
  <si>
    <t>Lo del motorsport</t>
  </si>
  <si>
    <t>La ingeniería práctica</t>
  </si>
  <si>
    <t>no se</t>
  </si>
  <si>
    <t>mas guias</t>
  </si>
  <si>
    <t xml:space="preserve">Nada
</t>
  </si>
  <si>
    <t>lo bien que me lo he pasado en el taller de residuos</t>
  </si>
  <si>
    <t>el trayecto a las escuela de ingenierias</t>
  </si>
  <si>
    <t>Un autobus y por lo demas perfecto</t>
  </si>
  <si>
    <t>Que el trato no era nada degradativo, se nos trataba bien, no con superioridad</t>
  </si>
  <si>
    <t>Que no todos hemos hemos hecho todas las actividades (entiendo que es por falta de tiempo).</t>
  </si>
  <si>
    <t>No se me ocurre nada, la verdad es que está bastante bien.</t>
  </si>
  <si>
    <t>EL COHETE</t>
  </si>
  <si>
    <t>El taller de residuos</t>
  </si>
  <si>
    <t>los profesores</t>
  </si>
  <si>
    <t>Que no hemos probado cosas como por ejemplo los drones</t>
  </si>
  <si>
    <t>Probar más cosas</t>
  </si>
  <si>
    <t>la atención que me han dado los monitores de la escuela</t>
  </si>
  <si>
    <t>el taller del cohete</t>
  </si>
  <si>
    <t>tal vez hacer talleres con participación del alumnado y que este se sienta mas inluido</t>
  </si>
  <si>
    <t>El cohete</t>
  </si>
  <si>
    <t>,</t>
  </si>
  <si>
    <t>El BioTech</t>
  </si>
  <si>
    <t>No haber podido disfrutar todo por estar enferma pero está muy bien la visita</t>
  </si>
  <si>
    <t>Más tiempo, ya que no pudimos ver todo</t>
  </si>
  <si>
    <t>Tener la posibilidad de ver una universidad por dentro</t>
  </si>
  <si>
    <t>No haber recibido un muñequito de BioTech</t>
  </si>
  <si>
    <t>Mayor tiempo de la visita para visitar todos los talleres</t>
  </si>
  <si>
    <t>Que hubiera la ingieniería que quiero estudiar</t>
  </si>
  <si>
    <t>Fablab</t>
  </si>
  <si>
    <t>Gestión de residuos</t>
  </si>
  <si>
    <t>Que estuviera disponible alguna ingeniería que me guste en el futuro</t>
  </si>
  <si>
    <t>FabLab</t>
  </si>
  <si>
    <t>Otro</t>
  </si>
  <si>
    <t>yo diría que una mayor accesibilidad</t>
  </si>
  <si>
    <t>las impresoras 3d</t>
  </si>
  <si>
    <t>la charla de los microchips</t>
  </si>
  <si>
    <t>mejorar la actividad de lo microchips que solo pongan un vídeo muy espeso una actividad un poco mas didáctica</t>
  </si>
  <si>
    <t>El coche</t>
  </si>
  <si>
    <t>El viaje</t>
  </si>
  <si>
    <t xml:space="preserve">Mejor transporte
</t>
  </si>
  <si>
    <t>El taller de lanzamiento de cohetes</t>
  </si>
  <si>
    <t>Todo me ha gustado</t>
  </si>
  <si>
    <t>Un motivación mas relevante ante este tipo de estudios</t>
  </si>
  <si>
    <t>La habitación de los drones</t>
  </si>
  <si>
    <t>La zona de las impresoras 3D</t>
  </si>
  <si>
    <t>mas incitación a la participación ante las diferentes actividades</t>
  </si>
  <si>
    <t>taller del coche</t>
  </si>
  <si>
    <t>riesgos laborales</t>
  </si>
  <si>
    <t>El UNEX motor</t>
  </si>
  <si>
    <t>la atención que nos han dado</t>
  </si>
  <si>
    <t>No se</t>
  </si>
  <si>
    <t>El taller de los drones, el de Biotecnología medica simulación y el de Escapa de la Biblioteca.</t>
  </si>
  <si>
    <t>El lanzamiento de cohete, pero por otro parte está bien.</t>
  </si>
  <si>
    <t>Si hay talleres fuera de la institución, como por ejemplo el de lanzamiento de cohete, poner indicadores de donde esta, ya que yo, la profesora y dos compañeras nos perdimos, Dori que era las que nos guiaba, nos dijo "al fondo y a la derecha" pero nosotras al ver que en el mini edificio que había al lado de la institución tenía la puerta abierta entramos y creímos que era hay, asta que nos ayudo un señor muy amable, y fuimos más adelante y allí estaban los demás.</t>
  </si>
  <si>
    <t>Los cohetes</t>
  </si>
  <si>
    <t>Las del coche</t>
  </si>
  <si>
    <t>Esta todo bien</t>
  </si>
  <si>
    <t>Lo del motor y coches de carrera</t>
  </si>
  <si>
    <t>La biblioteca</t>
  </si>
  <si>
    <t>Ns</t>
  </si>
  <si>
    <t>Está todo bien</t>
  </si>
  <si>
    <t>Tener más tiempo</t>
  </si>
  <si>
    <t>Todavía no tengo clara mi elección</t>
  </si>
  <si>
    <t>El túnel de viento</t>
  </si>
  <si>
    <t>Ninguno, todo está correcto</t>
  </si>
  <si>
    <t>Motosport</t>
  </si>
  <si>
    <t>Las máquinas hidráulicas</t>
  </si>
  <si>
    <t>Motor sport</t>
  </si>
  <si>
    <t>Hidráulica</t>
  </si>
  <si>
    <t>Todas me han gustado</t>
  </si>
  <si>
    <t>Ninguna</t>
  </si>
  <si>
    <t>La empresa de medicina</t>
  </si>
  <si>
    <t>El tunel de viento</t>
  </si>
  <si>
    <t>La variedad de actividades que se han presentado</t>
  </si>
  <si>
    <t>El tiempo ya que podrían ser más largas y poder proporcionar más información u otro tipos de actividades más complejas</t>
  </si>
  <si>
    <t>la buena atención</t>
  </si>
  <si>
    <t>el túnel de viento</t>
  </si>
  <si>
    <t>El taller de prevención de riesgos laborales</t>
  </si>
  <si>
    <t>Que las experiencias que cuenten sean por los ingenieros y que sean reales y se cuenten los aspectos positivos y negativos, solo cuentan las cosas buenas para que la gente vaya allí pero algunos datos que se dieron en la visita eran falsos y algunos profesores de allí dejaron mucho que desear en cuanto al nivel que se le debería de pedir a un ingeniero.</t>
  </si>
  <si>
    <t>El taller de coches y de impresión 3D</t>
  </si>
  <si>
    <t>El taller de prevención de riesgos</t>
  </si>
  <si>
    <t>Lo que he dicho en una de las anteriores.</t>
  </si>
  <si>
    <t>.</t>
  </si>
  <si>
    <t>La gran variedad de modalidades a elegir entre todos los tipos de ingeniería.</t>
  </si>
  <si>
    <t>el coche de carreras</t>
  </si>
  <si>
    <t>que estuvimos poco tiempo en cada sitio</t>
  </si>
  <si>
    <t>que haya más tiempo</t>
  </si>
  <si>
    <t>el taller de medicina</t>
  </si>
  <si>
    <t>ninguno</t>
  </si>
  <si>
    <t>el simulación de medicina</t>
  </si>
  <si>
    <t>lo de riesgos laborales</t>
  </si>
  <si>
    <t>La actividad de medicina</t>
  </si>
  <si>
    <t>La actividad de los riegos laborales</t>
  </si>
  <si>
    <t>Descubrir mas cosas sobre la ingeniería</t>
  </si>
  <si>
    <t>Todo estuvo bien</t>
  </si>
  <si>
    <t>La parte del motor</t>
  </si>
  <si>
    <t>La parte de de prevención de riesgos laborales</t>
  </si>
  <si>
    <t>La parte de de prevención de riesgos laborales y la explicación del principio que expliquen más de cada tipo de ingneriería</t>
  </si>
  <si>
    <t>Gran variedad variedad de actividades realizadas.</t>
  </si>
  <si>
    <t>La primera charla fue un poco extensa</t>
  </si>
  <si>
    <t>Que la charla del principio sea más corta</t>
  </si>
  <si>
    <t>Como te tratan en cada taller</t>
  </si>
  <si>
    <t>El taller de los drones</t>
  </si>
  <si>
    <t>La primera charla</t>
  </si>
  <si>
    <t>Taller de biotec</t>
  </si>
  <si>
    <t>Energía renovable</t>
  </si>
  <si>
    <t>El Fablab</t>
  </si>
  <si>
    <t>unex motor</t>
  </si>
  <si>
    <t>energia renovables</t>
  </si>
  <si>
    <t>unex motorsport</t>
  </si>
  <si>
    <t>energía renovable</t>
  </si>
  <si>
    <t>el coche de f1</t>
  </si>
  <si>
    <t xml:space="preserve">nada
</t>
  </si>
  <si>
    <t>Las prácticas de biotme</t>
  </si>
  <si>
    <t>La mecanica</t>
  </si>
  <si>
    <t>Más práctica y menos charla</t>
  </si>
  <si>
    <t>El equipo de Motorsport</t>
  </si>
  <si>
    <t>Tengo bastante claro ir a Cáceres. No hay Ingeniería Informática en Badajoz</t>
  </si>
  <si>
    <t>La ultima parte, los coches</t>
  </si>
  <si>
    <t>Las energías renovables</t>
  </si>
  <si>
    <t>Ninguno, me ha gustado bastante</t>
  </si>
  <si>
    <t>Nada todo genial</t>
  </si>
  <si>
    <t>el trato con el alumnado y la atención</t>
  </si>
  <si>
    <t>est todo correcto, genial</t>
  </si>
  <si>
    <t>Todo genial</t>
  </si>
  <si>
    <t>La atencion recibida</t>
  </si>
  <si>
    <t>El de motores</t>
  </si>
  <si>
    <t>El taller de Unex Motorsport</t>
  </si>
  <si>
    <t>El taller de Biotech</t>
  </si>
  <si>
    <t>Nada, me ha gustado mucho la actividad</t>
  </si>
  <si>
    <t>La atención por parte de las personas encargadas de realizar los talleres</t>
  </si>
  <si>
    <t>Las prácticas del taller de biotme</t>
  </si>
  <si>
    <t>Unexmotorsport</t>
  </si>
  <si>
    <t>Energía renovables</t>
  </si>
  <si>
    <t>El trato del personal del centro</t>
  </si>
  <si>
    <t>Que el desayuno fuera tan temprano</t>
  </si>
  <si>
    <t>El taller de drones</t>
  </si>
  <si>
    <t>El desayuno nada más llegar</t>
  </si>
  <si>
    <t>Tiempo</t>
  </si>
  <si>
    <t>La clara visualización de como afectan los proyecto en la humanidad para mejorarla</t>
  </si>
  <si>
    <t>Alomejor un poco más de prácticas</t>
  </si>
  <si>
    <t>Menos tensión en el ambiente y más ejemplos</t>
  </si>
  <si>
    <t>El taller de drones.</t>
  </si>
  <si>
    <t>El desayuno.</t>
  </si>
  <si>
    <t>Que dure un poco más de tiempo para hacer los talleres con mayor tranquilidad</t>
  </si>
  <si>
    <t>Una rama de ingeniería informática</t>
  </si>
  <si>
    <t>El dinamismo de las actividades</t>
  </si>
  <si>
    <t>La falta de asiento</t>
  </si>
  <si>
    <t>Ha sido una visita completa, lo único a mejorar es poner unas sillas</t>
  </si>
  <si>
    <t>Los legos</t>
  </si>
  <si>
    <t>Estar de pie todo el rato</t>
  </si>
  <si>
    <t>Unex motorsport</t>
  </si>
  <si>
    <t>La actividad de los legos</t>
  </si>
  <si>
    <t>Que el desayuno haya sido al principio de la visita</t>
  </si>
  <si>
    <t>La diversidad de los cursos</t>
  </si>
  <si>
    <t>El poco tiempo de cada taller</t>
  </si>
  <si>
    <t>Que toda la visita por todos los talleres sea del tiron</t>
  </si>
  <si>
    <t>Un descanso de 15 minutos a mitad de la visita</t>
  </si>
  <si>
    <t>El taller de biomedicina</t>
  </si>
  <si>
    <t>los legos</t>
  </si>
  <si>
    <t>que pongan el desayuno al principio</t>
  </si>
  <si>
    <t>el taller de mecánica</t>
  </si>
  <si>
    <t>El taller</t>
  </si>
  <si>
    <t>el de bio tec</t>
  </si>
  <si>
    <t>hacer mas dinamicas las explicaciones</t>
  </si>
  <si>
    <t>no lo sé</t>
  </si>
  <si>
    <t>Pinchar en el musculo</t>
  </si>
  <si>
    <t>Los robots</t>
  </si>
  <si>
    <t>No lo sé</t>
  </si>
  <si>
    <t>Me ha gustado mucho la orientación que nos ha dado el subdirector de la escuela. También la explicación de los alumnos como el de los lego, los ejemplos de los drones y los famosos coches.</t>
  </si>
  <si>
    <t>Lo pero que me ha gustado ha sido el poco tiempo que hemos estado en algunas explicaciones como el de la micro tecnología porque es muy interesante pero es lo único que mejoraría.</t>
  </si>
  <si>
    <t>En vez de un día solo me gustaría visitarlo una vez por trimestre.</t>
  </si>
  <si>
    <t>Estar de pie.</t>
  </si>
  <si>
    <t>El taller de legos</t>
  </si>
  <si>
    <t>El de los drones</t>
  </si>
  <si>
    <t>Hacer cosas más prácticas en tds los talleres</t>
  </si>
  <si>
    <t>Los karts</t>
  </si>
  <si>
    <t>La duración</t>
  </si>
  <si>
    <t>La organización</t>
  </si>
  <si>
    <t>La atención de todos los profesores.</t>
  </si>
  <si>
    <t>Quizás el desayuno tan pronto</t>
  </si>
  <si>
    <t>el desayuno tan pronto</t>
  </si>
  <si>
    <t>La atención de los profesores</t>
  </si>
  <si>
    <t>El desayuno temprano</t>
  </si>
  <si>
    <t>Las partes prácticas</t>
  </si>
  <si>
    <t>Tener un poco más de tiempo ya que el último que hemos visitado solo hemos estado más o menos 10 minutos y el desayuno ponerlo más tarde</t>
  </si>
  <si>
    <t>Labprimera charla</t>
  </si>
  <si>
    <t>El tiempo de espera</t>
  </si>
  <si>
    <t>el personal</t>
  </si>
  <si>
    <t>los drones</t>
  </si>
  <si>
    <t>El taller de la biblioteca y el de los legos</t>
  </si>
  <si>
    <t>Más cerca cerca de el norte de Extremadura</t>
  </si>
  <si>
    <t>Las actividades practicas</t>
  </si>
  <si>
    <t>Que no hubieran sillas en la mayoría de los talleres</t>
  </si>
  <si>
    <t>Hacer los talleres en lugares con sillas o comprar mas de estas</t>
  </si>
  <si>
    <t>La sesión de pinchar y probar a sacar sangre</t>
  </si>
  <si>
    <t>Que en algunas aulas solo ponían vídeos.</t>
  </si>
  <si>
    <t>Poner sillas, y aumentar la interactividad.</t>
  </si>
  <si>
    <t>Atención de los profesores</t>
  </si>
  <si>
    <t>El desayuno</t>
  </si>
  <si>
    <t>El desayuno tan pronto</t>
  </si>
  <si>
    <t>Los drons, los robots y el coche</t>
  </si>
  <si>
    <t>El tipo de ingeniería</t>
  </si>
  <si>
    <t>Unex Motorsport</t>
  </si>
  <si>
    <t>Los microrobots</t>
  </si>
  <si>
    <t>Sacar sangre</t>
  </si>
  <si>
    <t>El poco tiempo de los talleres</t>
  </si>
  <si>
    <t>Dar más tiempo en cada actividad</t>
  </si>
  <si>
    <t>la interacción</t>
  </si>
  <si>
    <t>el poco tiempo</t>
  </si>
  <si>
    <t>El trato hacia los alumnos</t>
  </si>
  <si>
    <t>Que duraban poco ciertas actividades</t>
  </si>
  <si>
    <t>Que sean mas largas las actividades</t>
  </si>
  <si>
    <t>La parte de medicina</t>
  </si>
  <si>
    <t>Lanzamiento de cohete</t>
  </si>
  <si>
    <t>El hidrógeno verde</t>
  </si>
  <si>
    <t>3D, fisica practica y motorsport</t>
  </si>
  <si>
    <t>Cohete</t>
  </si>
  <si>
    <t>Biomedicina</t>
  </si>
  <si>
    <t>Fab lab</t>
  </si>
  <si>
    <t>La parte del motorsport</t>
  </si>
  <si>
    <t>Que me empiece a gustar física</t>
  </si>
  <si>
    <t>El taller de impresión 3d</t>
  </si>
  <si>
    <t>El tiempo (limitado) que teníamos</t>
  </si>
  <si>
    <t>Aumentar el tiempo por taller</t>
  </si>
  <si>
    <t>Que no hayamos visto en acción el túnel de viento</t>
  </si>
  <si>
    <t>Grado Ingeniería Automotriz</t>
  </si>
  <si>
    <t>Biotech, impresión 3D y Mundo Virtual</t>
  </si>
  <si>
    <t>Mayor participación en lo práctico</t>
  </si>
  <si>
    <t>El sensor de movimiento de las manos</t>
  </si>
  <si>
    <t>El que no haya dado tiempo a ver el tunel de viento en funcionamiento</t>
  </si>
  <si>
    <t>Aumentar el tiempo de la visita para que de tiempo a cubrir todos los apartados</t>
  </si>
  <si>
    <t>El lamzamiento de cohete</t>
  </si>
  <si>
    <t xml:space="preserve">La charla informativa del principio </t>
  </si>
  <si>
    <t xml:space="preserve">el coche de competición </t>
  </si>
  <si>
    <t>unexmotorsport</t>
  </si>
  <si>
    <t>los lanzamientos de cohetes</t>
  </si>
  <si>
    <t>los sistenas hidraulicos</t>
  </si>
  <si>
    <t xml:space="preserve">todo a sido de mi agrado </t>
  </si>
  <si>
    <t xml:space="preserve">Motorsport </t>
  </si>
  <si>
    <t xml:space="preserve">El desayuno, una tostada estaría mejor </t>
  </si>
  <si>
    <t xml:space="preserve">El desayuno </t>
  </si>
  <si>
    <t xml:space="preserve">El lanzamiento de cohetes </t>
  </si>
  <si>
    <t xml:space="preserve">Todo ha sido de mi agrado </t>
  </si>
  <si>
    <t xml:space="preserve">La organización </t>
  </si>
  <si>
    <t>Impresiones en 3D</t>
  </si>
  <si>
    <t xml:space="preserve">Oferta de ingeniería aeroespacial </t>
  </si>
  <si>
    <t xml:space="preserve">las instalaciones </t>
  </si>
  <si>
    <t xml:space="preserve">poner sillas en el desayuno </t>
  </si>
  <si>
    <t xml:space="preserve">fablab </t>
  </si>
  <si>
    <t xml:space="preserve">hidráulica </t>
  </si>
  <si>
    <t>más actividad a los visitantes que puedan probar más cosas</t>
  </si>
  <si>
    <t xml:space="preserve">Las actividades </t>
  </si>
  <si>
    <t xml:space="preserve">Nada en especial </t>
  </si>
  <si>
    <t xml:space="preserve">la participación </t>
  </si>
  <si>
    <t>el taller de los motores porque no me gustan</t>
  </si>
  <si>
    <t>está bien</t>
  </si>
  <si>
    <t xml:space="preserve">No es por la universidad, es porque nací en Málaga y tengo vida con amigos y familia en otro lado, por lo que cursaré allí </t>
  </si>
  <si>
    <t xml:space="preserve">La calidad del ambiente de los profesores </t>
  </si>
  <si>
    <t>Se ha hecho todo muy rápido por lo que no hemos podido disfrutar especialmente de nada durante tiempo prolongado</t>
  </si>
  <si>
    <t>Unexmotosport</t>
  </si>
  <si>
    <t>Que se pueda estudiar ingenieria informatica en badajoz</t>
  </si>
  <si>
    <t>Jose</t>
  </si>
  <si>
    <t>Que no fuimos a los drones</t>
  </si>
  <si>
    <t>pongan la opcion de nose o no he ido en el cuestionario</t>
  </si>
  <si>
    <t>Nota</t>
  </si>
  <si>
    <t>El taller de UNEXMotorsport</t>
  </si>
  <si>
    <t>Nada, me ha gustado todo en general</t>
  </si>
  <si>
    <t>Es muy posible que estudie física allí, pero falta tiempo hasta la decisión final.</t>
  </si>
  <si>
    <t>Todo en general.</t>
  </si>
  <si>
    <t>No recuerdo nada que no me haya gustado.</t>
  </si>
  <si>
    <t>Poco se podría mejorar.</t>
  </si>
  <si>
    <t>La parte de la impresión 3d ya que me gusta temas relacionados a este</t>
  </si>
  <si>
    <t>Motorsport, aunque la visita a aquel establecimiento fue fenomenal, como por ejemplo la carisma y experiencia del que nos estaba recibiendo, a mí noe agrada muchos los temas relacionados con motores. Pero para ser honesto, me agrado también el tiempo que estuve allí.</t>
  </si>
  <si>
    <t>Para la próxima vez me gustarían que mejorarán las precauciones en la parte de la botella, ya que surgió algunos percances. (Pero no son graves, solo eran salpicaderas)</t>
  </si>
  <si>
    <t>Lo de los coches</t>
  </si>
  <si>
    <t>Lo de los microchips</t>
  </si>
  <si>
    <t xml:space="preserve">Pues no se </t>
  </si>
  <si>
    <t xml:space="preserve">Lo de las motos </t>
  </si>
  <si>
    <t xml:space="preserve">Lo primero </t>
  </si>
  <si>
    <t xml:space="preserve">Pues lo primero  que hemos visto </t>
  </si>
  <si>
    <t xml:space="preserve">Las gafas de realidad virtual </t>
  </si>
  <si>
    <t xml:space="preserve">El laboratorio eléctrico </t>
  </si>
  <si>
    <t xml:space="preserve">El laboratorio debería ser más práctico y no tan estático sino más dinámico. </t>
  </si>
  <si>
    <t>Necesitaría interés por parte de mi sobre este tipo de aspectos.</t>
  </si>
  <si>
    <t>El taller de impresoras 3d</t>
  </si>
  <si>
    <t>El desayuno servido al llegar</t>
  </si>
  <si>
    <t>En lo personal, sería que se hiciesen actividades en grupos.</t>
  </si>
  <si>
    <t>El taller de residuos me encantó</t>
  </si>
  <si>
    <t>el tunel de viento</t>
  </si>
  <si>
    <t>que hubiese fablap</t>
  </si>
  <si>
    <t>El campo de la mekatronica</t>
  </si>
  <si>
    <t>Me gustó todo</t>
  </si>
  <si>
    <t>Acordar mejor los tiempos para poder ver todos los departamentos</t>
  </si>
  <si>
    <t>La parte del MotoSport</t>
  </si>
  <si>
    <t>Tener ingeniería de informática</t>
  </si>
  <si>
    <t>El taller de motorsport</t>
  </si>
  <si>
    <t>El olor de los talleres de gestión de residuos</t>
  </si>
  <si>
    <t>Explicaciones menos teóricas y más cortas</t>
  </si>
  <si>
    <t>Una facultad de ingeniería informática.</t>
  </si>
  <si>
    <t>El ambiente.</t>
  </si>
  <si>
    <t>La actitud de algunos profesores.</t>
  </si>
  <si>
    <t>Visitas más rápidas para que dé tiempo a hacer más cosas.</t>
  </si>
  <si>
    <t>El taller de mecánica y la amabilidad de todos los estudiantes que nos atendieron.</t>
  </si>
  <si>
    <t>⠀⠀⠀⠀⠀⠀⠀⠀⠀⠀⠀⠀⠀</t>
  </si>
  <si>
    <t>El túnel de viento y lo bien que explicaban</t>
  </si>
  <si>
    <t>donde las basuras</t>
  </si>
  <si>
    <t>UNEX Motorsport y Los drones</t>
  </si>
  <si>
    <t>La charla de microchips, era un video</t>
  </si>
  <si>
    <t>los drones omg</t>
  </si>
  <si>
    <t>nada, lo único que no tengo claro es la ingeniería que estudiar</t>
  </si>
  <si>
    <t>el taller motorsport y los posible cursos en otras universidades</t>
  </si>
  <si>
    <t>más tiempo</t>
  </si>
  <si>
    <t>el taller de realidad virtual</t>
  </si>
  <si>
    <t>tener claro qué quiero estudiar</t>
  </si>
  <si>
    <t>mejor desayuno</t>
  </si>
  <si>
    <t>Realidad virtual y los drones</t>
  </si>
  <si>
    <t>desayuno</t>
  </si>
  <si>
    <t>El desayuno y mas tiempo</t>
  </si>
  <si>
    <t>La visita me ha encantado</t>
  </si>
  <si>
    <t>Estoy pensando estudiar Ingeniería Biomica y no esta aquí.</t>
  </si>
  <si>
    <t>Los drones y el coche</t>
  </si>
  <si>
    <t>El taller de las impresoras 3D</t>
  </si>
  <si>
    <t>el taller de los drones</t>
  </si>
  <si>
    <t>que haya ingeniería informática de software</t>
  </si>
  <si>
    <t>lo de los drones</t>
  </si>
  <si>
    <t>sillas para sentarse en el desayuno</t>
  </si>
  <si>
    <t>Los talleres y el interes de los profesores preparar los talleres</t>
  </si>
  <si>
    <t>El taller de la cortadora laser</t>
  </si>
  <si>
    <t>Aún no tengo claro que estudiar</t>
  </si>
  <si>
    <t>El ultimo taller, UnexMotorsport</t>
  </si>
  <si>
    <t>Las sillas con ruedas</t>
  </si>
  <si>
    <t>La atención y la información recivida</t>
  </si>
  <si>
    <t>Lo que menos me ha gustado es el desayuno aunque ha estado muy bien . Lo que nos gustó del desayuno es que pudiéramos comprarnos algo si queríamos .</t>
  </si>
  <si>
    <t>Realmente estubo muy bien no se en que poner pegas .</t>
  </si>
  <si>
    <t>La aplicacion en e taller de ingeniería mecánica</t>
  </si>
  <si>
    <t>Esta todo muy bien</t>
  </si>
  <si>
    <t>el taller de unex motorsport</t>
  </si>
  <si>
    <t>Otra carrera</t>
  </si>
  <si>
    <t>El taller de lego</t>
  </si>
  <si>
    <t>El taller de riesgos laborales</t>
  </si>
  <si>
    <t>Tener algo que me interesara para mi futuro</t>
  </si>
  <si>
    <t>El desayuno y el taller de los Legos</t>
  </si>
  <si>
    <t>La charla de bienvenida y el taller de riesgos laborales</t>
  </si>
  <si>
    <t>Mejor desayuno, actividades más dinámicas,…</t>
  </si>
  <si>
    <t>El taller de biotech</t>
  </si>
  <si>
    <t>La ciudad</t>
  </si>
  <si>
    <t>Taller de Riesgos laborales</t>
  </si>
  <si>
    <t>El desayuno, el ambiente que había y el taller de los Legos, FABLAB y el biotech medical.</t>
  </si>
  <si>
    <t>El taller o trabajo de prevención y riesgos</t>
  </si>
  <si>
    <t>La espera del último taller</t>
  </si>
  <si>
    <t>No está en mis opciones hacer una carrera</t>
  </si>
  <si>
    <t>Faplab la impresión 3D</t>
  </si>
  <si>
    <t>La prevención de los riegos</t>
  </si>
  <si>
    <t>Más tiempo en la última actividad de unex motosport, era de las más interesante y en la que menos tiempo estuvimos</t>
  </si>
  <si>
    <t>Que haya grado de desarrollo de software.</t>
  </si>
  <si>
    <t>UNEXMotorsport</t>
  </si>
  <si>
    <t>Lo de los riesgos laborales</t>
  </si>
  <si>
    <t>A lo mejor actividades más prácticas como lo de Lego</t>
  </si>
  <si>
    <t>La exposición sobre la facultad y las salidas profesionales</t>
  </si>
  <si>
    <t>Que no estaba el kart para probar</t>
  </si>
  <si>
    <t>Taller de lego</t>
  </si>
  <si>
    <t>Taller de riesgo de laboratorio</t>
  </si>
  <si>
    <t>No creo que necesite ninguna mejora esta bien como estaba</t>
  </si>
  <si>
    <t>Me gustaría que se pudiera cursar Ingeniería Informática de Software como en Cáceres, estaría muy bien.</t>
  </si>
  <si>
    <t>La parte de los Legos y Fablabs</t>
  </si>
  <si>
    <t>Prevención de riesgos (tampoco estuvo tan mal pero por decir algo no sean tan duros con la chica que era maja)</t>
  </si>
  <si>
    <t>Me habría gustado que llegaran a explicar los requisitos para poder entrar en la facultad (sé que se pueden buscar en Internet pero habría sido un detalle)</t>
  </si>
  <si>
    <t>Que hubiese ingeniería informática.</t>
  </si>
  <si>
    <t>Yo creo que en general está bastante bien.</t>
  </si>
  <si>
    <t>Lo es</t>
  </si>
  <si>
    <t>Los lego</t>
  </si>
  <si>
    <t>Algunas explicaciones</t>
  </si>
  <si>
    <t>Darnos churros</t>
  </si>
  <si>
    <t>Las impresoras 3D</t>
  </si>
  <si>
    <t>Taller de prevención de riesgos laborales</t>
  </si>
  <si>
    <t>Churros de desayuno</t>
  </si>
  <si>
    <t>Él fórmula student</t>
  </si>
  <si>
    <t>El poco tiempo</t>
  </si>
  <si>
    <t>Más actividades como las de los legos</t>
  </si>
  <si>
    <t>Me interesa más la informática pero la industrial está muy bien también</t>
  </si>
  <si>
    <t>Unexmotor</t>
  </si>
  <si>
    <t>Si soy sincero no lo se</t>
  </si>
  <si>
    <t>La cafetería</t>
  </si>
  <si>
    <t>Me gusto todo</t>
  </si>
  <si>
    <t>No mejorable</t>
  </si>
  <si>
    <t>Nada, se que quiero estudiar ingeniería mecánica aquí en Badajoz.</t>
  </si>
  <si>
    <t>Prevención de riesgos</t>
  </si>
  <si>
    <t>Enseñas más cosas.</t>
  </si>
  <si>
    <t>No sabe/No contesta</t>
  </si>
  <si>
    <t>El fablab y la presentación de la universidad</t>
  </si>
  <si>
    <t>La exposición de prevención de riesgos</t>
  </si>
  <si>
    <t>Mejores instalaciones para la ingeniería mecánica</t>
  </si>
  <si>
    <t>El taller de Motorsport</t>
  </si>
  <si>
    <t>No cambiaría nada</t>
  </si>
  <si>
    <t>La ingenieria practica</t>
  </si>
  <si>
    <t>Lo de lego</t>
  </si>
  <si>
    <t>SÍ</t>
  </si>
  <si>
    <t>El taller de legos y impresoras 3D</t>
  </si>
  <si>
    <t xml:space="preserve">MÃ¡quinas hidrÃ¡ulicas </t>
  </si>
  <si>
    <t xml:space="preserve">las actividades </t>
  </si>
  <si>
    <t>se hacia corto en algunas</t>
  </si>
  <si>
    <t xml:space="preserve">El taller de ingenierÃ­a prÃ¡ctica </t>
  </si>
  <si>
    <t>Taller de biomasa</t>
  </si>
  <si>
    <t>La participaciÃ³n y las ganas de enseÃ±ar de los profesores y monitores</t>
  </si>
  <si>
    <t>La rapidez con la que se han dado las cosas</t>
  </si>
  <si>
    <t>Conocer mejor el centro estudiantil</t>
  </si>
  <si>
    <t>La secciÃ³n de peles</t>
  </si>
  <si>
    <t>Taller de Biomasa</t>
  </si>
  <si>
    <t>El humo de fablab</t>
  </si>
  <si>
    <t>Estar mucho tiempo de pie</t>
  </si>
  <si>
    <t xml:space="preserve">El coche de fÃ³rmula 1 </t>
  </si>
  <si>
    <t xml:space="preserve">PrevenciÃ³n de riesgos laborales </t>
  </si>
  <si>
    <t>Cuando participÃ¡bamos en cualquier actividad y la parte de informÃ¡tica.</t>
  </si>
  <si>
    <t>No sÃ©.</t>
  </si>
  <si>
    <t xml:space="preserve">Lo que mÃ¡s me ha gustado ha sido el taller de Lego y los talleres ingenierÃ­a prÃ¡ctica </t>
  </si>
  <si>
    <t xml:space="preserve">Taller de prevenciÃ³n de riesgos laborales, y el de la biomasa </t>
  </si>
  <si>
    <t xml:space="preserve">La actividad de lego e hidrÃ¡ulica </t>
  </si>
  <si>
    <t>PrevenciÃ³n de riesgos laborales y biomasa</t>
  </si>
  <si>
    <t xml:space="preserve">Dronlab </t>
  </si>
  <si>
    <t xml:space="preserve">ProtecciÃ³n y prevenciÃ³n de riesgos laborales </t>
  </si>
  <si>
    <t>No sacar nota para la guardia civil</t>
  </si>
  <si>
    <t>La fÃ³rmula uno y la impresion 3d</t>
  </si>
  <si>
    <t xml:space="preserve">Me ha gustado todo </t>
  </si>
  <si>
    <t>La visita a UNEX motorsport, ya que es lo que mÃ¡s interesante me ha parecido.</t>
  </si>
  <si>
    <t xml:space="preserve">Estar demasiado tiempo de pie </t>
  </si>
  <si>
    <t xml:space="preserve">Mejoras en las instalaciones </t>
  </si>
  <si>
    <t>El talle de lego , ha sido muy participativo. El taller de ingenierÃ­a prÃ¡ctica ha sido muy guay</t>
  </si>
  <si>
    <t xml:space="preserve">Algunos hablaban mucho </t>
  </si>
  <si>
    <t xml:space="preserve">que no puediese entrar en mis deseos principales a la hora de la carrera </t>
  </si>
  <si>
    <t>la construcciÃ³n de un ascensor con legos</t>
  </si>
  <si>
    <t>me ha gustado todo pero si tuviese que decir algo serÃ­a en la biomasa</t>
  </si>
  <si>
    <t>No sacar nota para lo que quiero estudiar</t>
  </si>
  <si>
    <t>El taller de LEGO</t>
  </si>
  <si>
    <t xml:space="preserve">Que hubiera  ingenierÃ­a robÃ³tica aquÃ­ </t>
  </si>
  <si>
    <t>El taller de lego y el del coche</t>
  </si>
  <si>
    <t xml:space="preserve">El taller de biomasa </t>
  </si>
  <si>
    <t xml:space="preserve">Esta dentro de mis preferencias porque es conocida por ser muy buena, el caso es que a mi me gustarÃ­a poder ir al extranjero o salir de Badajoz </t>
  </si>
  <si>
    <t>La ingenierÃ­a prÃ¡ctica y la hidrÃ¡ulica han sido de las mÃ¡s entretenidas y me han llamado mucha la atenciÃ³n, tambiÃ©n la atenciÃ³n y trato de los profesores a mejorado mucho la experiencia</t>
  </si>
  <si>
    <t xml:space="preserve">La que menos me ha interesado ha sido la de riesgos laborales, pero aunque no me haya resultado tan interesante, entiendo que es muy importante </t>
  </si>
  <si>
    <t>Antes de participar en las actividades de Desayuna Ingeniería, tu interés por estudiar ingeniería era</t>
  </si>
  <si>
    <t>Después de participar en las actividades de Desayuna Ingeniería, tu interés por estudiar ingeniería</t>
  </si>
  <si>
    <t>Evaluación de los talleres: Conferencia de Inteligencia Artificial¿El profesor/a fomentó la participación activa en el taller?</t>
  </si>
  <si>
    <t>Evaluación de los talleres: Conferencia de Inteligencia Artificial¿Cuál es su satisfacción con el taller?</t>
  </si>
  <si>
    <t>Evaluación de los talleres: Narices electrónicas¿El profesor/a fomentó la participación activa en el taller?</t>
  </si>
  <si>
    <t>Evaluación de los talleres: Narices electrónicas¿Cuál es su satisfacción con el taller?</t>
  </si>
  <si>
    <t>Evaluación de los talleres: Túnel de viento y lanzamiento de cohete¿El profesor/a fomentó la participación activa en el taller?</t>
  </si>
  <si>
    <t>Evaluación de los talleres: Túnel de viento y lanzamiento de cohete¿Cuál es su satisfacción con el taller?</t>
  </si>
  <si>
    <t>Evaluación de los talleres:  Sistemas eléctricos y electrónicos de potencia.¿El profesor/a fomentó la participación activa en el taller?</t>
  </si>
  <si>
    <t>Evaluación de los talleres:  Sistemas eléctricos y electrónicos de potencia.¿Cuál es su satisfacción con el taller?</t>
  </si>
  <si>
    <t>Evaluación de los talleres:  Superconductividad¿El profesor/a fomentó la participación activa en el taller?</t>
  </si>
  <si>
    <t>Evaluación de los talleres:  Superconductividad¿Cuál es su satisfacción con el taller?</t>
  </si>
  <si>
    <t>Evaluación de los talleres:  Biodiésel y biolubricantes.¿El profesor/a fomentó la participación activa en el taller?</t>
  </si>
  <si>
    <t>Evaluación de los talleres:  Biodiésel y biolubricantes.¿Cuál es su satisfacción con el taller?</t>
  </si>
  <si>
    <t>Evaluación de los talleres: Termografía Infarroja¿El profesor/a fomentó la participación activa en el taller?</t>
  </si>
  <si>
    <t>Evaluación de los talleres: Termografía Infarroja¿Cuál es su satisfacción con el taller?</t>
  </si>
  <si>
    <t>Bajo</t>
  </si>
  <si>
    <t>Disminuyó</t>
  </si>
  <si>
    <t>No dar bocadillos de jamón York y queso para desayunar</t>
  </si>
  <si>
    <t>Moderado</t>
  </si>
  <si>
    <t>Se mantuvo igual</t>
  </si>
  <si>
    <t>Los coches de los ralis</t>
  </si>
  <si>
    <t>La charla</t>
  </si>
  <si>
    <t>Si</t>
  </si>
  <si>
    <t>Aumentó</t>
  </si>
  <si>
    <t>El taller de lego y motoesport</t>
  </si>
  <si>
    <t>La IA</t>
  </si>
  <si>
    <t>Que no den de desayunar bocadillos.</t>
  </si>
  <si>
    <t>Motor Sport</t>
  </si>
  <si>
    <t>Que no den bocadillos para desayunar</t>
  </si>
  <si>
    <t xml:space="preserve">El motor sport
</t>
  </si>
  <si>
    <t xml:space="preserve">Que no nos den en el desayuno sándwich
</t>
  </si>
  <si>
    <t>Lo ultimo</t>
  </si>
  <si>
    <t>Pues que no den bocatas para desayunar y que den tostadas o churros y que las charlas sean más divertidas 😁😁</t>
  </si>
  <si>
    <t>Que no fuera tan estudiar</t>
  </si>
  <si>
    <t>Motor esport</t>
  </si>
  <si>
    <t>Mas atención</t>
  </si>
  <si>
    <t>Ser más graciosos</t>
  </si>
  <si>
    <t>mo</t>
  </si>
  <si>
    <t>los legos y lo de motorsport</t>
  </si>
  <si>
    <t xml:space="preserve">Que no pongan bocadillos para desayunar estaban ¡¡¡Muy duros!!!
</t>
  </si>
  <si>
    <t>Los legos.</t>
  </si>
  <si>
    <t>La primera charla.</t>
  </si>
  <si>
    <t>No tengo nada que mejorar.</t>
  </si>
  <si>
    <t>El taller de los legos</t>
  </si>
  <si>
    <t>Que hubiese más cosas que hacer interesantes.</t>
  </si>
  <si>
    <t>La Motorsport</t>
  </si>
  <si>
    <t>Que tuviese actividades para hacer</t>
  </si>
  <si>
    <t>Que sea divertido</t>
  </si>
  <si>
    <t>Las charlas.</t>
  </si>
  <si>
    <t>Que no haya tantas charlas.</t>
  </si>
  <si>
    <t>El taller de legos y las explicaciones.</t>
  </si>
  <si>
    <t>Los legos y lo de las motos</t>
  </si>
  <si>
    <t>Tunel de viento</t>
  </si>
  <si>
    <t>Hola</t>
  </si>
  <si>
    <t>los rotuladores de narices electronicas</t>
  </si>
  <si>
    <t>el hidrogeno verde</t>
  </si>
  <si>
    <t>Alto</t>
  </si>
  <si>
    <t>industrial</t>
  </si>
  <si>
    <t>El taller de motor</t>
  </si>
  <si>
    <t>El laboratorio de electronica</t>
  </si>
  <si>
    <t>Pocos, ha sido muy completa</t>
  </si>
  <si>
    <t>Comer</t>
  </si>
  <si>
    <t>No comer</t>
  </si>
  <si>
    <t>Aprender sobre los coches de Fórmula 1</t>
  </si>
  <si>
    <t>El taller de fórmula 1</t>
  </si>
  <si>
    <t>El taller de electrónica</t>
  </si>
  <si>
    <t>El laboratorio de biomasa</t>
  </si>
  <si>
    <t>taller de biomasa</t>
  </si>
  <si>
    <t>taller de electrónica</t>
  </si>
  <si>
    <t>No ir tan de seguido a los talleres</t>
  </si>
  <si>
    <t>El taller de fórmula 1 y ver las máquinas que usan en los laboratorios.</t>
  </si>
  <si>
    <t>El taller del tunel de viento porque no lo he entendido tanto</t>
  </si>
  <si>
    <t>Mas cosas prácticas</t>
  </si>
  <si>
    <t>Todas las explicaciones se entendían y eran dinámicas.</t>
  </si>
  <si>
    <t>Aclararme y descubrir qué tipo de trabajo quiero</t>
  </si>
  <si>
    <t>La amabilidad de la gente que nos ha explicado los talleres</t>
  </si>
  <si>
    <t>Estar de pie</t>
  </si>
  <si>
    <t>Que tuvieras mas grados y másteres</t>
  </si>
  <si>
    <t>La charla del UNEX Motorsport</t>
  </si>
  <si>
    <t>El calor del taller del UNEX Motorsport y el olor del laboratorio de biomasa</t>
  </si>
  <si>
    <t>Aire acondicionado o ventanas abietas en lo de los coches</t>
  </si>
  <si>
    <t>Que tuviera más grados</t>
  </si>
  <si>
    <t>El taller del motorsport</t>
  </si>
  <si>
    <t>El calor que hacía en el taller en el taller de motorsport y el olor del laboratorio de biomasa</t>
  </si>
  <si>
    <t>Que durarán más tiempo las charlas individuales y que hubiera ventilación en el laboratorio de biomasa y aire acondicionado en el motorsport</t>
  </si>
  <si>
    <t>talleres más dinámicos</t>
  </si>
  <si>
    <t>Una vivienda cercana a la escuela.</t>
  </si>
  <si>
    <t>La comprensión de los alumnos que nos han atendido</t>
  </si>
  <si>
    <t>Había una actividad sobre un cohete y no pudimos realizarla por las condiciones atmosféricas.</t>
  </si>
  <si>
    <t>Más tiempo de visita, ya que íbamos muy justos de tiempo</t>
  </si>
  <si>
    <t>Los laboratorios</t>
  </si>
  <si>
    <t>Los talleres de biomasa y materiales</t>
  </si>
  <si>
    <t>Electronica</t>
  </si>
  <si>
    <t>La charla sobre el coche de formula 4 y las competiciones</t>
  </si>
  <si>
    <t>Que hubiesen tirado el cohete y hubiesen hecho funcionar el túnel</t>
  </si>
  <si>
    <t>No sé si iré porque está lejos de donde vivo.</t>
  </si>
  <si>
    <t>La amplia gama de maquinas e instrumentos que había</t>
  </si>
  <si>
    <t>No sé</t>
  </si>
  <si>
    <t>Más interactivo</t>
  </si>
  <si>
    <t>El taller de motores y la fuerza G</t>
  </si>
  <si>
    <t>Me a gustado todo menos ek taller de los nueve aerogeneradores</t>
  </si>
  <si>
    <t>Hemos estado poco tiempo</t>
  </si>
  <si>
    <t>La explicación de la universidad</t>
  </si>
  <si>
    <t>En general me ha gustado todo</t>
  </si>
  <si>
    <t>Probablemente estudié otra cosa</t>
  </si>
  <si>
    <t>El túnel de viento me pareció muy interesante</t>
  </si>
  <si>
    <t>El taller del túnel del viento</t>
  </si>
  <si>
    <t>el desayuno y el taller de coches</t>
  </si>
  <si>
    <t>el taller de viento</t>
  </si>
  <si>
    <t>Pues haber hecho mas practicas nosotros</t>
  </si>
  <si>
    <t>el tunel</t>
  </si>
  <si>
    <t>La actividad de los legos.</t>
  </si>
  <si>
    <t>Lo del coche de fórmula 1.</t>
  </si>
  <si>
    <t>Que participemos más en las actividades.</t>
  </si>
  <si>
    <t>La informacion, algunos talleres y la atencion</t>
  </si>
  <si>
    <t>La duracion del motor sport</t>
  </si>
  <si>
    <t>Que la duracion del motor sport, fue muy largo y no habia donde apollarse, y llega un momento que cansa, puede que a mucha gente le interesase, pero en mi opinion no era algo tan dinamico ni entretenido, y en mi opinion subjetiva fue muy cansado</t>
  </si>
  <si>
    <t>que sea lo que quiero estudiar</t>
  </si>
  <si>
    <t>El taller de motores</t>
  </si>
  <si>
    <t>no tanta teoria y mas enseñar</t>
  </si>
  <si>
    <t>taller de lego</t>
  </si>
  <si>
    <t>taller de coche</t>
  </si>
  <si>
    <t>t,unel del viento</t>
  </si>
  <si>
    <t>Que cuando vaya siendo mas mayor, me guste mas</t>
  </si>
  <si>
    <t>Los bocadillos</t>
  </si>
  <si>
    <t>lo de motor, la ultima actividad</t>
  </si>
  <si>
    <t>lo de la libreria</t>
  </si>
  <si>
    <t>Lo del coche</t>
  </si>
  <si>
    <t>Otro desayuno o tener mas tiempo de las actividades</t>
  </si>
  <si>
    <t>La diversidad de actividades.</t>
  </si>
  <si>
    <t>El poco tiempo que tuvimos para hacer las actividades.</t>
  </si>
  <si>
    <t>Más tiempo para que los profesores pudieran explicar mejor.</t>
  </si>
  <si>
    <t>la formación de legos</t>
  </si>
  <si>
    <t>la actividad de motorsport</t>
  </si>
  <si>
    <t>La formacion de legos</t>
  </si>
  <si>
    <t>la actividad de motor sport</t>
  </si>
  <si>
    <t>quiero estudiar física y me gustaría estudiarla en una escuela más avanzada en ese campo</t>
  </si>
  <si>
    <t>Descubrir sobre los túneles de viento y la biblioteca</t>
  </si>
  <si>
    <t>no haber participado tanto y el nivel de información obtenida, hay personas con más conocimientos de la ciencia y nos gustaría haber conocido cosas más interesantes</t>
  </si>
  <si>
    <t>Información de más nivel</t>
  </si>
  <si>
    <t>Como explicaban el túnel de viento(muy teórico)</t>
  </si>
  <si>
    <t>lo de el motor de los coches</t>
  </si>
  <si>
    <t>lo del tunel de viento</t>
  </si>
  <si>
    <t>yo pienso que nada</t>
  </si>
  <si>
    <t>No ir con tanta prisa</t>
  </si>
  <si>
    <t>La actividad con los legos</t>
  </si>
  <si>
    <t>Que haya mas juegos interactivos</t>
  </si>
  <si>
    <t>el orden</t>
  </si>
  <si>
    <t>Que no había sillas</t>
  </si>
  <si>
    <t>La actividad de la biblioteca</t>
  </si>
  <si>
    <t>La actividad de elctronica</t>
  </si>
  <si>
    <t>El detalle del desayuno y la participación y dedicación a los talleres.</t>
  </si>
  <si>
    <t>Que algunos talleres fueran cortos.</t>
  </si>
  <si>
    <t>Tener más tipos de ingieneria</t>
  </si>
  <si>
    <t>El de los coches de formula uno</t>
  </si>
  <si>
    <t>electronica</t>
  </si>
  <si>
    <t>El taller de la electronica</t>
  </si>
  <si>
    <t>Más participación en algunos talleres</t>
  </si>
  <si>
    <t>La actividad de los LEGO.</t>
  </si>
  <si>
    <t>Lo de los coches del taller</t>
  </si>
  <si>
    <t>La charla de coches en el taller</t>
  </si>
  <si>
    <t>Que algunas actividades sean mas participativas</t>
  </si>
  <si>
    <t>Aspectos complicados a veces.</t>
  </si>
  <si>
    <t>El escape room de la biblioteca</t>
  </si>
  <si>
    <t>Los micro chips</t>
  </si>
  <si>
    <t>Más interacción</t>
  </si>
  <si>
    <t>Que nos hubieran dado mas tiempo</t>
  </si>
  <si>
    <t>tener mucho interes</t>
  </si>
  <si>
    <t>el taller lego</t>
  </si>
  <si>
    <t>lo de los microbits</t>
  </si>
  <si>
    <t>La información que nos aportó</t>
  </si>
  <si>
    <t>El último taller de los microchips</t>
  </si>
  <si>
    <t>Poner más prácticas</t>
  </si>
  <si>
    <t>El taller de Legos</t>
  </si>
  <si>
    <t>El desayuno y el último taller</t>
  </si>
  <si>
    <t>Más juegos y prácticas</t>
  </si>
  <si>
    <t>El laboratorio de electrónica</t>
  </si>
  <si>
    <t>Más actividades para participar nosotros.</t>
  </si>
  <si>
    <t>que no todo fue tan práctico</t>
  </si>
  <si>
    <t>Que fuera más dinámico , hubiera más práctica , y la sesión fueran más larga ya que en varias ocasiones iban con prisa.</t>
  </si>
  <si>
    <t>el taller de la biblioteca</t>
  </si>
  <si>
    <t>el taller de motosport</t>
  </si>
  <si>
    <t>que los talleres tengan mas interaccion</t>
  </si>
  <si>
    <t>Nada, está bien así</t>
  </si>
  <si>
    <t>El taller de proyectando con lego</t>
  </si>
  <si>
    <t>El taller de el laboratorio de electrónica</t>
  </si>
  <si>
    <t>La visita estuvo bien, no creo que haya que mejorar nada</t>
  </si>
  <si>
    <t>Que se hayan realizado distintos tipos de actividades.</t>
  </si>
  <si>
    <t>Que se siguiera un orden tan rápido</t>
  </si>
  <si>
    <t>Manos teoria</t>
  </si>
  <si>
    <t>La charla de los microchips</t>
  </si>
  <si>
    <t>Que los visitantes puedan participar en actividades y no solo escuchar, que puede hacerle perder la atención sobre la actividad a gran parte de la gente</t>
  </si>
  <si>
    <t>que no sea todo tan electrónico y más anológico</t>
  </si>
  <si>
    <t>más interacción con los alumnos</t>
  </si>
  <si>
    <t>el laboratorio</t>
  </si>
  <si>
    <t>mas activos y mas actividades</t>
  </si>
  <si>
    <t>mis preferencias de estudios ya que ingenieria no esta en mis planes de futuro como preferencia</t>
  </si>
  <si>
    <t>el desayuno ya que me ha parecido un punto a favor de la excursion no solo ver tecnologia todo el rato, ver la universidad, las practicas de lego y la actividad de la biblioteca ya que me lo pase bien y el profesor que habia alli hacia que todo sea mas comodo</t>
  </si>
  <si>
    <t>esta muy bien no tengo nada en mente que mejorar</t>
  </si>
  <si>
    <t>El taller de UNEX Motorsport</t>
  </si>
  <si>
    <t>EL taller de electrónica, porque no es un taller que me guste mucho, la verdad es que no me guste mucho y también fue el tiempo que era un poco corto</t>
  </si>
  <si>
    <t>La verdad que todo fue genial pero hay talleres que gustan mas y otros menos pero la visita me encanto, y la verdad que en los talleres se iban justos de tiempo y no podían explicar lo suficiente.</t>
  </si>
  <si>
    <t>El taller del formula</t>
  </si>
  <si>
    <t>el taller de escapar de la biblioteca</t>
  </si>
  <si>
    <t>Ninguno me parecio muy buena</t>
  </si>
  <si>
    <t>La charla y el calor que hacía</t>
  </si>
  <si>
    <t>Aire acondicionado</t>
  </si>
  <si>
    <t>El taller de formula 1</t>
  </si>
  <si>
    <t>El taller de magnetismo</t>
  </si>
  <si>
    <t>La mejora del inglés</t>
  </si>
  <si>
    <t>El taller de la formula 1</t>
  </si>
  <si>
    <t>El taller de la viscosidad</t>
  </si>
  <si>
    <t>La charla de los biolubricantes</t>
  </si>
  <si>
    <t>La charla de los motores de fórmula uno</t>
  </si>
  <si>
    <t>Más participación</t>
  </si>
  <si>
    <t>Los experimentos y las interacciones que pudimos tener</t>
  </si>
  <si>
    <t>Tantas explicaciones</t>
  </si>
  <si>
    <t>Hacer la visita más amena</t>
  </si>
  <si>
    <t>La charla de biolubricantes</t>
  </si>
  <si>
    <t>La charla de Fórmula 1</t>
  </si>
  <si>
    <t>Participar más</t>
  </si>
  <si>
    <t>Estudiar</t>
  </si>
  <si>
    <t>El dronlab</t>
  </si>
  <si>
    <t>Que me dieron de comer gratis</t>
  </si>
  <si>
    <t>Que se acabó la comida</t>
  </si>
  <si>
    <t>Más comida :)</t>
  </si>
  <si>
    <t>La superconductividad</t>
  </si>
  <si>
    <t>Hacerla más dinámica</t>
  </si>
  <si>
    <t>La charla sobre IA</t>
  </si>
  <si>
    <t>Todo estuvo genial</t>
  </si>
  <si>
    <t>La dinámica, participación y el amor con el que los profesionales y alumnos hablan de la rama tratada.</t>
  </si>
  <si>
    <t>Que durase tan poco</t>
  </si>
  <si>
    <t>Quitar la charla de IA</t>
  </si>
  <si>
    <t>Charla acerca de la IA</t>
  </si>
  <si>
    <t>La corta duración</t>
  </si>
  <si>
    <t>me gustaría irme fuera, no por otra cosa , sois geniales.</t>
  </si>
  <si>
    <t>lo bien explicado que ha estado todo y lo que se han involucrado todos, muy buena experiencia, todos unos profesionales.</t>
  </si>
  <si>
    <t>q durase tan poco y que no pudiéramos ver el cochete, el de la charla de ia muy aburrida, no me ha gustado nada</t>
  </si>
  <si>
    <t>más tiempo a cada espacio, creo q nos quedamos cortos y pudimos profundizar más.</t>
  </si>
  <si>
    <t>el taller de Motorsport</t>
  </si>
  <si>
    <t>la conferencia de IA</t>
  </si>
  <si>
    <t>tengo que pensarlo todavía</t>
  </si>
  <si>
    <t>el cohete</t>
  </si>
  <si>
    <t>Aprender sobre el programa de motorsport</t>
  </si>
  <si>
    <t>La falta de tiempo a veces</t>
  </si>
  <si>
    <t>La atención recibida e implicación tanto de profesores como del alumnado</t>
  </si>
  <si>
    <t>Mas tiempo</t>
  </si>
  <si>
    <t>Tiempo entre talleres</t>
  </si>
  <si>
    <t>la amabilidad del personal</t>
  </si>
  <si>
    <t>-</t>
  </si>
  <si>
    <t>Las cosas enseñadas en motorsport</t>
  </si>
  <si>
    <t>las conferencias en las que no se ha participado casi nada</t>
  </si>
  <si>
    <t xml:space="preserve">ninguno, muy buena visita 
</t>
  </si>
  <si>
    <t>La prevencion de riesgos</t>
  </si>
  <si>
    <t>todo en general</t>
  </si>
  <si>
    <t>Los talleres y la amabilidad de todos</t>
  </si>
  <si>
    <t>Corta</t>
  </si>
  <si>
    <t>Tener ingeniería de ciber seguridad</t>
  </si>
  <si>
    <t>Que no pudimos lanzar el cohete</t>
  </si>
  <si>
    <t>El interés que tenían por enseñar las cosas</t>
  </si>
  <si>
    <t>La conferencia sobre IA</t>
  </si>
  <si>
    <t>El taller del coche</t>
  </si>
  <si>
    <t>nada m a gustado todo</t>
  </si>
  <si>
    <t>Más demostraciones</t>
  </si>
  <si>
    <t>Ya lo es</t>
  </si>
  <si>
    <t>La ia</t>
  </si>
  <si>
    <t>El fórmula 1</t>
  </si>
  <si>
    <t>IA</t>
  </si>
  <si>
    <t>Poco tiempo</t>
  </si>
  <si>
    <t>No se todavia</t>
  </si>
  <si>
    <t>el coche</t>
  </si>
  <si>
    <t>que no estaba terminado</t>
  </si>
  <si>
    <t>nada, esta perfecto</t>
  </si>
  <si>
    <t>El coche de fórmula 1</t>
  </si>
  <si>
    <t>Es perfecta</t>
  </si>
  <si>
    <t>moto student</t>
  </si>
  <si>
    <t>La demostración de la generación de hidrógeno.</t>
  </si>
  <si>
    <t>Hacer más demostraciones prácticas y enseñar los sistemas más impresionantes.</t>
  </si>
  <si>
    <t>Gonzalo Guerrero</t>
  </si>
  <si>
    <t>El MATLAB</t>
  </si>
  <si>
    <t>El colacao</t>
  </si>
  <si>
    <t>El reducido tiempo</t>
  </si>
  <si>
    <t>Más Colacao</t>
  </si>
  <si>
    <t>Ver que son cosas útiles en el día a día.</t>
  </si>
  <si>
    <t>La atención y el esfuerzo que se nota que han puesto</t>
  </si>
  <si>
    <t>Nada, me ha encantado</t>
  </si>
  <si>
    <t>Más duración</t>
  </si>
  <si>
    <t>La impresión 3D</t>
  </si>
  <si>
    <t>Colacao</t>
  </si>
  <si>
    <t>Que llovia</t>
  </si>
  <si>
    <t>la maquina de juegos</t>
  </si>
  <si>
    <t>la prevención de riesgos laborales</t>
  </si>
  <si>
    <t>Atentos a los alumnos y muy didácticas las explicaciones</t>
  </si>
  <si>
    <t>Quizá el hecho de que las explicaciones podrían haber sido más detalladas</t>
  </si>
  <si>
    <t>la impresión 3D</t>
  </si>
  <si>
    <t>q hubiera ingeniería informática</t>
  </si>
  <si>
    <t>el último taller</t>
  </si>
  <si>
    <t>la rapidez de los talleres</t>
  </si>
  <si>
    <t>un horario más prolongado</t>
  </si>
  <si>
    <t>Las inpresiones 3d</t>
  </si>
  <si>
    <t>Las explicaciones podrían haber sido más dinámicas y cortas</t>
  </si>
  <si>
    <t>Que acabasr</t>
  </si>
  <si>
    <t>Que no hiciésemos nada</t>
  </si>
  <si>
    <t>Que la acorten</t>
  </si>
  <si>
    <t>Lo de los pellets</t>
  </si>
  <si>
    <t>Lo de las maquinas de calor</t>
  </si>
  <si>
    <t>lo de los coches y as máquinas idraulicas.</t>
  </si>
  <si>
    <t>la termografía</t>
  </si>
  <si>
    <t>mostrarlo mas a fondo y dejar colaborar.</t>
  </si>
  <si>
    <t>el primer taller</t>
  </si>
  <si>
    <t>el segundo taller</t>
  </si>
  <si>
    <t>Aprender cosas nuevas acerca de la ingeniería</t>
  </si>
  <si>
    <t>el taller de motorsport</t>
  </si>
  <si>
    <t>Lo que quiero estudiar no está en Extremadura, igualmente no lo descarto</t>
  </si>
  <si>
    <t>La actitud de los profesores</t>
  </si>
  <si>
    <t>Que nos dieran un taller de fórmula 1 sin el coche</t>
  </si>
  <si>
    <t>Hacer actividades más prácticas</t>
  </si>
  <si>
    <t>Fue el taller del coche</t>
  </si>
  <si>
    <t>El taller de termográfica</t>
  </si>
  <si>
    <t>Lo que más me ha gustado fue el taller de las maquinas hidráulica.</t>
  </si>
  <si>
    <t>El taller del coche.</t>
  </si>
  <si>
    <t>Cambiar los talleres.</t>
  </si>
  <si>
    <t>El taller de las máquinas hidráulicas</t>
  </si>
  <si>
    <t>No dar tantas charlas</t>
  </si>
  <si>
    <t>Lo que más me ha gustado ha sido todo lo que he aprendido y la actitud de los profesores.</t>
  </si>
  <si>
    <t>Lo que menos fue el taller de motores , sin coche.</t>
  </si>
  <si>
    <t>En general estuvo bien quizás mi favorito fue el taller de las máquinas hidráulicas</t>
  </si>
  <si>
    <t>Que no esté el F1</t>
  </si>
  <si>
    <t>Que en el taller de motosport al explicar el F1 el coche esté.</t>
  </si>
  <si>
    <t>Me gustaron más las actividades prácticas como la realización de experimentos o las máquinas hidráulicas.</t>
  </si>
  <si>
    <t>No me ha gustado la charla de fórmula 1 porque se me hizo pesada y además no se disponía de un coche, a mi parecer me pareció bastante pesado y la haría más dinámica para entretener al alumnado.</t>
  </si>
  <si>
    <t>Me hubiese gustado haber visto la de energía renovable antes que la del coche, además que no se disponía del mismo. También he escuchado la actividad de lanzar un cohete, tenía buenas ideas acerca de esa actividad y es bastante más práctica.</t>
  </si>
  <si>
    <t>La charla de IA. Los alumnos advirtiéndonos por los pasillos de no entrar.</t>
  </si>
  <si>
    <t>Algunas explicaciones me parecieron algo aburridas y apresuradas.</t>
  </si>
  <si>
    <t>Podrían haber quitado el moto sport en vez de las energías renovables, ya que no tenían el coche para explicarlo bien.</t>
  </si>
  <si>
    <t>La parte de la visita que más me han gustado fueron las charlas sobre la universidad y sobre las IA.</t>
  </si>
  <si>
    <t>La parte que menos me ha gustado han sido los talleres.</t>
  </si>
  <si>
    <t>Creo que los talleres podrían haberse llevado a cabo de una forma mucho más dinámica y participativa, sin embargo, en la realidad los talleres consistieron casi en su totalidad en escuchar mientras nosotros, los alumnos, no nos sentíamos integrados con el tema o con el funcionamiento del taller.</t>
  </si>
  <si>
    <t>El no haber ido</t>
  </si>
  <si>
    <t>nada, porque no he podido visualizarlo visualmente</t>
  </si>
  <si>
    <t>Que no se hagan</t>
  </si>
  <si>
    <t>Sí lo es</t>
  </si>
  <si>
    <t>El interés de los profesores para que nos enteremos de los talleres</t>
  </si>
  <si>
    <t>El poco tiempo de descanso entre talleres</t>
  </si>
  <si>
    <t>Hacer más actividades interactivas</t>
  </si>
  <si>
    <t>Mas dinamismo</t>
  </si>
  <si>
    <t>El trato y el ambiente</t>
  </si>
  <si>
    <t>La parte de los coches</t>
  </si>
  <si>
    <t xml:space="preserve">Estuvo bastante bien en general
</t>
  </si>
  <si>
    <t>Todo lo que se puede aprender y estudiar con la ingeniería.</t>
  </si>
  <si>
    <t>Que no hubiera un descanso.</t>
  </si>
  <si>
    <t>El descanso.</t>
  </si>
  <si>
    <t>Tengo que tener en cuenta otras opciones</t>
  </si>
  <si>
    <t>Que me empiece a interesar más la ingenieria</t>
  </si>
  <si>
    <t>El taller de la madera</t>
  </si>
  <si>
    <t>La explicación del taller de motorsport</t>
  </si>
  <si>
    <t>En vez de bocatas de desayuno, que sean churros</t>
  </si>
  <si>
    <t>Que yo quisiera estudiar algo de ingenieria,en ese caso iria sin dudas a esta universidad</t>
  </si>
  <si>
    <t>lo de la IA porque es lo que mas razon tiene</t>
  </si>
  <si>
    <t>Lo del principio,debido a que estabamos cortados,pero en general estuvo bien</t>
  </si>
  <si>
    <t>Actualmente creo que no es necesario nada,la verdad estuvo bastante bien y fuimos muy bien atendidos</t>
  </si>
  <si>
    <t>la explicación de los transistores</t>
  </si>
  <si>
    <t>los lego</t>
  </si>
  <si>
    <t>formula student</t>
  </si>
  <si>
    <t>la presentación del inicio</t>
  </si>
  <si>
    <t>que sea un poco más interactivo todavía</t>
  </si>
  <si>
    <t>esperimento con la botella</t>
  </si>
  <si>
    <t>nose</t>
  </si>
  <si>
    <t>El taller de Lego</t>
  </si>
  <si>
    <t xml:space="preserve">El taller de Unex Motorsport
</t>
  </si>
  <si>
    <t>La atención recibida y el túnel de viento</t>
  </si>
  <si>
    <t>Nada, me ha gustado todo</t>
  </si>
  <si>
    <t>Que haya ingeniería dentro de la policía</t>
  </si>
  <si>
    <t>El taller de lego y de los túneles de viento.</t>
  </si>
  <si>
    <t>Nada, me ha encantado todo</t>
  </si>
  <si>
    <t>La botella</t>
  </si>
  <si>
    <t>Las explicaciones</t>
  </si>
  <si>
    <t>Esta muy bien</t>
  </si>
  <si>
    <t>Trabajar en equipo con los legos</t>
  </si>
  <si>
    <t>La explicación de lo de los coches se me hizo muy pesada</t>
  </si>
  <si>
    <t>Por mis intereses</t>
  </si>
  <si>
    <t>La actividad del túnel de viento.</t>
  </si>
  <si>
    <t>es por mis intereses</t>
  </si>
  <si>
    <t>Que no pudiera estudiar informaica</t>
  </si>
  <si>
    <t>los talleres de viento y lego</t>
  </si>
  <si>
    <t>todo me a gustado</t>
  </si>
  <si>
    <t>un poco menos de teoria</t>
  </si>
  <si>
    <t>Nose que quiero estudiar todavía y alomejor me gustaría estudiar fuera</t>
  </si>
  <si>
    <t>Mas interactivas las charlas</t>
  </si>
  <si>
    <t>El lanzamiento del cohete</t>
  </si>
  <si>
    <t>El taller del tunel del viento</t>
  </si>
  <si>
    <t>Taller microchip</t>
  </si>
  <si>
    <t>Que cambie de opinión.</t>
  </si>
  <si>
    <t>El taller de Turbina de viento.</t>
  </si>
  <si>
    <t>El de la construcción de Lego</t>
  </si>
  <si>
    <t>Que sea más practico y menos explicativo en algunas partes.</t>
  </si>
  <si>
    <t>Lanzamiento de botella</t>
  </si>
  <si>
    <t>EL desayuno era poca cosa y en cada actividad faltaba tiempo</t>
  </si>
  <si>
    <t>Un poco más de margen de tiempo, 2 o 3 minutos más por actividad</t>
  </si>
  <si>
    <t>Las instalaciones y el tunel de viento</t>
  </si>
  <si>
    <t>Como se fabricaban los microchips</t>
  </si>
  <si>
    <t>que se que no puedo esudiarlo</t>
  </si>
  <si>
    <t>explicar que ramas se tienen que cojer en bachillerato para luego ver que si se puede y que no en la universidad</t>
  </si>
  <si>
    <t>no estoy seguro</t>
  </si>
  <si>
    <t>el experiemento de las botellas</t>
  </si>
  <si>
    <t>la charla de como se fabricaban los microchips</t>
  </si>
  <si>
    <t>no lo se</t>
  </si>
  <si>
    <t>los talleres te explican de manera practica la experiencia de estudiar en la universidad</t>
  </si>
  <si>
    <t>q ha sido solo una vez</t>
  </si>
  <si>
    <t>q los talleres fueran mas interactivos</t>
  </si>
  <si>
    <t>los cohetes</t>
  </si>
  <si>
    <t>lo de las motos</t>
  </si>
  <si>
    <t>estar en algunas de las charlas sentados en vez de todo el rato de pie</t>
  </si>
  <si>
    <t>No es que necesite nada, si no que me apetecería irme a estudiar fuera</t>
  </si>
  <si>
    <t>Me gustó mucho el taller de fórmula 1</t>
  </si>
  <si>
    <t>Que los talleres sean más interactivos</t>
  </si>
  <si>
    <t>El taller de los materiales cerámicos, (la tenacidad…), el microscopio…</t>
  </si>
  <si>
    <t>El taller de Fórmula 1</t>
  </si>
  <si>
    <t>Algunos talleres eran muy teóricos, como e, anterior, y se me hacía aburrido y pesado</t>
  </si>
  <si>
    <t>La formación del profesorado y el taller de electricidad</t>
  </si>
  <si>
    <t>La abundancia de las charlas en los talleres</t>
  </si>
  <si>
    <t>Más cosas didácticas</t>
  </si>
  <si>
    <t>El taller de las impresoras 3D y el de Legos</t>
  </si>
  <si>
    <t>el buen trato de los profesores y de las personas que nos explicaban cada cosa</t>
  </si>
  <si>
    <t>puede que sea mejor que en vez de tener 3 charlas y 2 q podemos participar sea al revés ya que yo creo que a la gente joven le gusta más poder participar y hacer cosas y se interesara más</t>
  </si>
  <si>
    <t>que haya más momentos en los que las personas puedan participar</t>
  </si>
  <si>
    <t>El taller de la biblioteca</t>
  </si>
  <si>
    <t>El de fórmula1</t>
  </si>
  <si>
    <t>Todo en general estaba bastante bien.</t>
  </si>
  <si>
    <t>La charla sobre la inteligencia artificial o el taller de la viscosidad, aunque me resulto interesante.</t>
  </si>
  <si>
    <t>Debería haber más actividades practicas, que sean entretenidas, sobre todo para que no te ''desconectes'' de lo que se está hablando, y asi poder enterarte mejor.</t>
  </si>
  <si>
    <t>Lo bien recibidos que fuimos.</t>
  </si>
  <si>
    <t>Nada que resaltar.</t>
  </si>
  <si>
    <t>Más ahondamiento en asignaturas de la ingeniería.</t>
  </si>
  <si>
    <t>no necesito nada más</t>
  </si>
  <si>
    <t>el taller de biodiesel y el de la impresora 3d y eso</t>
  </si>
  <si>
    <t>la de los coches</t>
  </si>
  <si>
    <t>la del biodiesel</t>
  </si>
  <si>
    <t>lo del final, el de los coches</t>
  </si>
  <si>
    <t>algún profesor estaba un poco soso, pero tampoco pasa nada</t>
  </si>
  <si>
    <t>El taller de Impresión 3D y corte laser</t>
  </si>
  <si>
    <t>El taller de Unex motorsport, por su poca interactividad.</t>
  </si>
  <si>
    <t>Las impresoras 3d</t>
  </si>
  <si>
    <t>Ver como era la universidad</t>
  </si>
  <si>
    <t>Algunos talleres</t>
  </si>
  <si>
    <t>Dar una vuelta para ver la universidad y sus distintos laboratorios, como el laboratorio del viento</t>
  </si>
  <si>
    <t>Taller de drones</t>
  </si>
  <si>
    <t>El taller de biomasa</t>
  </si>
  <si>
    <t>La familiaridad del personal con nosotros</t>
  </si>
  <si>
    <t>Talleres poco prácticos para nosotros</t>
  </si>
  <si>
    <t>Tener las ideas claras</t>
  </si>
  <si>
    <t>La charla de IA</t>
  </si>
  <si>
    <t>La participación</t>
  </si>
  <si>
    <t>Tener más claro lo que quiero hacer en un futuro</t>
  </si>
  <si>
    <t>Todas las cosas que había</t>
  </si>
  <si>
    <t>Que los profesores trabajen más con los visitantes</t>
  </si>
  <si>
    <t>depende de lo que quiera estudiar</t>
  </si>
  <si>
    <t>La explicacion de los coches</t>
  </si>
  <si>
    <t>La charla de la IA</t>
  </si>
  <si>
    <t>Mas practica y menos teoria</t>
  </si>
  <si>
    <t>Probablemente si sea la primera opción</t>
  </si>
  <si>
    <t>Lo de los drones</t>
  </si>
  <si>
    <t>Lo de la ia</t>
  </si>
  <si>
    <t>Que hubiera habido más cosas prácticas</t>
  </si>
  <si>
    <t>El entusiasmo con el que nos explicaban las materias</t>
  </si>
  <si>
    <t>Gustarme</t>
  </si>
  <si>
    <t>Charla neuronal</t>
  </si>
  <si>
    <t>Estuvo bien la visita, quizás debería haber sido más interactiva</t>
  </si>
  <si>
    <t>Saber que es lo que en realidad quiero estudiar</t>
  </si>
  <si>
    <t>La conferencia de la ia</t>
  </si>
  <si>
    <t>La de biomasa</t>
  </si>
  <si>
    <t>Las prácticas del biodiesel</t>
  </si>
  <si>
    <t>El profesor de la inteligencia artificial hablo mucho y fue un poco cansado.</t>
  </si>
  <si>
    <t>Hacer más pruebas prácticas</t>
  </si>
  <si>
    <t>Claridad</t>
  </si>
  <si>
    <t>Los profesores</t>
  </si>
  <si>
    <t>Estar de pie tanto tiempo</t>
  </si>
  <si>
    <t>No añadiría nada</t>
  </si>
  <si>
    <t>la presentación sobre la ia</t>
  </si>
  <si>
    <t>Que nos hubieran enseñado mejor las instalaciones y hubiéramos realizado actividades más prácticas</t>
  </si>
  <si>
    <t>Los inventos del dronlab</t>
  </si>
  <si>
    <t>Que los talleres fueron MUY poco prácticos</t>
  </si>
  <si>
    <t>Que los talleres sean prácticos y realicemos actividades relacionadas a estos</t>
  </si>
  <si>
    <t>Que nos hubieran puesto actividades algo más prácticas y que enseñasen más las la universidad</t>
  </si>
  <si>
    <t>Los legos que no vimos :(</t>
  </si>
  <si>
    <t>La charla de la IA porque no me interesa ese tema y no hacíamos nada práctico</t>
  </si>
  <si>
    <t>Me habría gustado que hubieran hecho una visita guiada de la universidad para verla más a fondo y que en vez de tan solo decirnos que es la mejor escuela de tecnología que nos lo demostrasen de verdad.</t>
  </si>
  <si>
    <t>El autobús</t>
  </si>
  <si>
    <t>Las goteras de la cafetería</t>
  </si>
  <si>
    <t>Está muy lejos.</t>
  </si>
  <si>
    <t>Que sea mas entretenido.</t>
  </si>
  <si>
    <t>Esta muy lejos de donde vivo</t>
  </si>
  <si>
    <t>Mas participación</t>
  </si>
  <si>
    <t>Las prácticas.</t>
  </si>
  <si>
    <t>Charla IA</t>
  </si>
  <si>
    <t>La parte del kart</t>
  </si>
  <si>
    <t>La charla de energías renovables</t>
  </si>
  <si>
    <t>El motosport</t>
  </si>
  <si>
    <t>El laboratorio</t>
  </si>
  <si>
    <t>Esta muy bien.</t>
  </si>
  <si>
    <t>Me encanto el taller de energía renovable</t>
  </si>
  <si>
    <t>Ninguna, todos estuvieron genial</t>
  </si>
  <si>
    <t>la seccion del f4</t>
  </si>
  <si>
    <t>la parte de la biomasa</t>
  </si>
  <si>
    <t>mas practicas</t>
  </si>
  <si>
    <t>Me a gustado todo.</t>
  </si>
  <si>
    <t>Pues me a gustado todo solo el final pues no mucho ya que no escuche muy bien.</t>
  </si>
  <si>
    <t>Pues hizo falta un poco mas de organización,al igual en presentar.</t>
  </si>
  <si>
    <t>La clase sobre la visión térmica.</t>
  </si>
  <si>
    <t>La verdad me gusto todo.</t>
  </si>
  <si>
    <t>Podrían mejorar algo mas de participación, por ejemplo, que cuando estábamos hablando de la visión térmica, que nos podía haber el instrumento que estaba usando para ver como funciona.</t>
  </si>
  <si>
    <t>Que nos enseñasen las salidas que tenía esas ingenierías</t>
  </si>
  <si>
    <t>Era muy teórica, debería ser algo mas practica</t>
  </si>
  <si>
    <t>No tienen la especialidad que me gustaría estudiar, pero no descarto ir a hacer ingeniería industrial</t>
  </si>
  <si>
    <t>Ver toda la variedad de cosas que hay</t>
  </si>
  <si>
    <t>Que pensé que íbamos a hacer cosas más prácticas</t>
  </si>
  <si>
    <t>Hacer los talleres más interactivos</t>
  </si>
  <si>
    <t>Las maquinas del centro de ingeniería</t>
  </si>
  <si>
    <t>La actividad del kahoot</t>
  </si>
  <si>
    <t>Deberían mostrar mas en el taller de mecánica como fabrican los coches o enseñar algunos de sus coches fabricados</t>
  </si>
  <si>
    <t>El desayuno gratuito</t>
  </si>
  <si>
    <t>El último taller, porque no escuché nada</t>
  </si>
  <si>
    <t>En los talleres en los que se tenga que estar de pie, distribuir a la gente para que los más bajitos estén adelante y los más altos detrás.</t>
  </si>
  <si>
    <t>Depende de si las clases son más prácticas, porque cuando fuimos a Badajoz, sus clases eran más de teoría</t>
  </si>
  <si>
    <t>El primer taller cuando hicimos el kahoot.</t>
  </si>
  <si>
    <t>El último taller.</t>
  </si>
  <si>
    <t>Que sea más práctico y nos demuestren cómo funciona las cosas.</t>
  </si>
  <si>
    <t>No les falta nada, si no que ninguna de las que están presentes en la escuela me llaman la atención.</t>
  </si>
  <si>
    <t>Sus formas de presentar y enseñar, demostrándonos ejemplos y otros con actividades.</t>
  </si>
  <si>
    <t>Que en la ultima clase que vimos me hubiera gustando ver al menos un prototipo del auto.</t>
  </si>
  <si>
    <t>Pues si se pudiera mejor la ultima clase que vimos con ejemplos como un formula.</t>
  </si>
  <si>
    <t>Que explicaran con mas detalle las distintas carreras y opciones que nos dan a elegir para poder tomar una decisión con seguridad sin dudas.</t>
  </si>
  <si>
    <t>Las distintas carreras que nos presentaron.</t>
  </si>
  <si>
    <t>La falta de información que hubo duran las presentaciones.</t>
  </si>
  <si>
    <t>Una mayor explicación sobre las carreras y las diferentes opciones que nos presentan.</t>
  </si>
  <si>
    <t>Evaluación de los talleres: €4a: Ahorra Energía.¿El profesor/a fomentó la participación activa en el taller?</t>
  </si>
  <si>
    <t>Evaluación de los talleres€4a: Ahorra Energía¿Cuál es su satisfacción con el taller?</t>
  </si>
  <si>
    <t>Curso</t>
  </si>
  <si>
    <t>Edad del estudiante preuniversitario</t>
  </si>
  <si>
    <t>2023/2024</t>
  </si>
  <si>
    <t>¿Cuál es su satisfacción con el taller de equipos de combustión de Máquinas hidráulicas?</t>
  </si>
  <si>
    <t>2024/2025</t>
  </si>
  <si>
    <t>En caso de que quieres estudiat ingeniería pero aún no sea su primera opción, ¿qué necesitaría para que eso fuera así?</t>
  </si>
  <si>
    <t>Motors sport</t>
  </si>
  <si>
    <t>Género del estudiante preuniversitario</t>
  </si>
  <si>
    <t>2025/2026</t>
  </si>
  <si>
    <t>La cercanía</t>
  </si>
  <si>
    <t>La parte de las actividades</t>
  </si>
  <si>
    <t>Los años de estudio</t>
  </si>
  <si>
    <t>está todo perfecto</t>
  </si>
  <si>
    <t>Que mi carrera no estuviese en Cáceres</t>
  </si>
  <si>
    <t>El taller de coches</t>
  </si>
  <si>
    <t>Durante mi visita a la Escuela de Ingenieros de Badajoz, pude apreciar un nivel educativo sobresaliente y un enfoque académico muy estructurado. Me llamó especialmente la atención la calidad de la enseñanza, basada en una combinación equilibrada de teoría y práctica, que permite a los estudiantes adquirir competencias sólidas y aplicables en su futura profesión. Asimismo, destaco la claridad y profundidad con la que se presentan los contenidos, así como la preparación del personal docente, que demuestra un compromiso evidente con la formación integral de los alumnos. En general, la experiencia educativa que ofrece la escuela me ha resultado enriquecedora y altamente profesional.</t>
  </si>
  <si>
    <t>Durante mi visita a la Escuela de Ingenieros de Badajoz, todo en el ámbito educativo me resultó impecable: la calidad de la enseñanza, la preparación del profesorado y la organización de las clases demostraron un alto nivel de excelencia académica. Sin embargo, debo mencionar que el desayuno ofrecido durante la visita no estuvo a la altura del resto de la experiencia aunque se trató de un detalle menor, fue lo único que no alcanzó la perfección que caracteriza a la escuela. Aun así, todo lo demás fue realmente sobresaliente y satisfactorio.</t>
  </si>
  <si>
    <t>La visita a la Escuela de Ingenieros de Badajoz fue muy completa y mostró la alta calidad educativa del centro. Para mejorarla, se podrían ofrecer materiales previos de orientación, incorporar talleres prácticos, facilitar espacios de diálogo con alumnado y profesorado, y resaltar más las oportunidades profesionales vinculadas a la formación.</t>
  </si>
  <si>
    <t>La entrega de los profesores y alumnos</t>
  </si>
  <si>
    <t>Conocer cómo se trabaja y qué se estudia para hacerme una idea de lo que podría ser mi futuro en algún caso.</t>
  </si>
  <si>
    <t>En general ha estado todo bastante bien. Me ha gustado.</t>
  </si>
  <si>
    <t>Me ha parecido todo muy interesante y bien planificado.</t>
  </si>
  <si>
    <t>El punte de viento</t>
  </si>
  <si>
    <t>Hacer volar el cohete</t>
  </si>
  <si>
    <t>El bollo de jamón y queso</t>
  </si>
  <si>
    <t>Poner un buen bocadillo para la próxima vez, y que nos dejen enredar un poco más con las máquinas 3D y con el coche</t>
  </si>
  <si>
    <t>Estar más arriba en el ranking nacional de ingeniería en tecnologías industriales</t>
  </si>
  <si>
    <t>Las instalaciones y la orientación en ingenierías industriales</t>
  </si>
  <si>
    <t>La poca claridad en interactividad de algún taller</t>
  </si>
  <si>
    <t>Mejorar la interactividad</t>
  </si>
  <si>
    <t>No me veo en esa rama de la ingeniería.</t>
  </si>
  <si>
    <t>El ambiente universitario.</t>
  </si>
  <si>
    <t>Nada en concreto.</t>
  </si>
  <si>
    <t>Las prácticas en los Talleres y cómo se realizaban</t>
  </si>
  <si>
    <t>Proyectos de los estudiantes</t>
  </si>
  <si>
    <t>Charlas interminables</t>
  </si>
  <si>
    <t>El experimento del cohete</t>
  </si>
  <si>
    <t>Tener que irme</t>
  </si>
  <si>
    <t>Lo que más me ha gustado ha sido ver de cerca cómo trabajan los estudiantes y conocer mejor el ambiente de la escuela.</t>
  </si>
  <si>
    <t>No me ha gustado que hubiera poco tiempo para ver algunas zonas con más detalle.</t>
  </si>
  <si>
    <t>Sería buena idea añadir más actividades interactivas o del estilo.</t>
  </si>
  <si>
    <t>La llamada al público (las preguntas que nos hacían a veces) el interés que demuestran por su carrera los alumnos o profesores.</t>
  </si>
  <si>
    <t>Tener que irme.</t>
  </si>
  <si>
    <t>La dinámica de los diferentes talleres. Especialmente la actividad de reconocer olores.</t>
  </si>
  <si>
    <t>La actividad sobre las facturas.</t>
  </si>
  <si>
    <t>Que este lo que quiero estudiar</t>
  </si>
  <si>
    <t>Lo de conseguir energía quemando madera</t>
  </si>
  <si>
    <t>Ver el taller de formula 1</t>
  </si>
  <si>
    <t>La universidad y las actividades.</t>
  </si>
  <si>
    <t>La charla de nuestra factura eléctrica.</t>
  </si>
  <si>
    <t>Laboratorios, como se dan clases en la universidad, herramientas que utilizan, ver situaciones reales o prácticas, etc.</t>
  </si>
  <si>
    <t>Lego</t>
  </si>
  <si>
    <t>Lo de ahorrar energía</t>
  </si>
  <si>
    <t>el taller de las impresoras 3d</t>
  </si>
  <si>
    <t>la charla de la luz</t>
  </si>
  <si>
    <t>Me ha gustado la capacidad de saber lo que algunos de los alumnos están recientemente trabajando, y poder participar. También me ha gustado mucho el taller de los sentidos.</t>
  </si>
  <si>
    <t>Me ha gustado todo. No tengo nada en contra.</t>
  </si>
  <si>
    <t>Ninguno. Está bastante bien así.</t>
  </si>
  <si>
    <t>El taller de impresión 3D</t>
  </si>
  <si>
    <t>El taller de ahorro de la electricidad, pero porque era menos práctico.</t>
  </si>
  <si>
    <t>El taller de las narices y la boca virtuales</t>
  </si>
  <si>
    <t>La actividad de la planta gasificadora</t>
  </si>
  <si>
    <t>Que no sea tan teórico</t>
  </si>
  <si>
    <t>lo de la formula 1</t>
  </si>
  <si>
    <t>Mudarme</t>
  </si>
  <si>
    <t>Los coches</t>
  </si>
  <si>
    <t>La energía</t>
  </si>
  <si>
    <t>que haya ingeneria aeronaiutica</t>
  </si>
  <si>
    <t>el taller de los coches</t>
  </si>
  <si>
    <t>que en alguna me he aburrido</t>
  </si>
  <si>
    <t>Es mi primera opcion</t>
  </si>
  <si>
    <t>El taller de David prieto</t>
  </si>
  <si>
    <t>Que tenga salidas laborales</t>
  </si>
  <si>
    <t>Oler un pescado en un boli</t>
  </si>
  <si>
    <t>El chaval del motosport</t>
  </si>
  <si>
    <t>dinero</t>
  </si>
  <si>
    <t>el chaval del motor sport</t>
  </si>
  <si>
    <t>lo de formula 1</t>
  </si>
  <si>
    <t>El taller motorsport</t>
  </si>
  <si>
    <t>Los juguetes que nos dejaron al principio</t>
  </si>
  <si>
    <t>el motorsport</t>
  </si>
  <si>
    <t>lo de la energía</t>
  </si>
  <si>
    <t>Vera los alumnos haciendo algo que les gusta, explicandolo bien.</t>
  </si>
  <si>
    <t>Han sido poco interactivos comparados con el año pasado</t>
  </si>
  <si>
    <t>El taller de los sensores</t>
  </si>
  <si>
    <t>el taller de olores</t>
  </si>
  <si>
    <t>el de la energia en casas</t>
  </si>
  <si>
    <t>Que no haya electrónica, se me da muy mal.</t>
  </si>
  <si>
    <t>la cercania de los estudiantes al explicarnos las cosas</t>
  </si>
  <si>
    <t>el buen trato por parte de profesores</t>
  </si>
  <si>
    <t>Que no pudimos ver el del cohete</t>
  </si>
  <si>
    <t>Un mejor desayuno en mi opinion</t>
  </si>
  <si>
    <t>Son motivos de zona, prefiero una ciudad grande</t>
  </si>
  <si>
    <t>Más dinámico y más tiempo y más descanso</t>
  </si>
  <si>
    <t>Que se ofertase la carrera que me gustaría estudiar.</t>
  </si>
  <si>
    <t>La cantidad de laboratorios que puede utilizar todo el mundo.</t>
  </si>
  <si>
    <t>La comida.</t>
  </si>
  <si>
    <t>La dinamización de algunos talleres.</t>
  </si>
  <si>
    <t>Ingenieria Informatica de softwere</t>
  </si>
  <si>
    <t>El laboratorio de drones y el laboratorio de biocombustible</t>
  </si>
  <si>
    <t>El laboratorio de impresión 3D</t>
  </si>
  <si>
    <t>No tengo ninguna sugerencia.</t>
  </si>
  <si>
    <t>La variedad de cosas que puedo aprender acerca de la ingenierías.</t>
  </si>
  <si>
    <t>Lo único el desayuno, pero aparte de eso todo bastante bien.</t>
  </si>
  <si>
    <t>Que haya arquitectura</t>
  </si>
  <si>
    <t>El equipo de drones y la explicación que nos estuvieron dando</t>
  </si>
  <si>
    <t>Los bocadillos, y que a veces era mucha charla y poca participación</t>
  </si>
  <si>
    <t>que haya más interacciones en las charlas en las que solo había charla, que sea más didáctico</t>
  </si>
  <si>
    <t>El dron del taller.</t>
  </si>
  <si>
    <t>Los bocadillos eran muy pequeños.</t>
  </si>
  <si>
    <t>Que no sea solo charla y más actividades prácticas como en el taller de hidráulica .</t>
  </si>
  <si>
    <t>la actividad con drones</t>
  </si>
  <si>
    <t>la charla inicial</t>
  </si>
  <si>
    <t>esta bastante bien equilibrada</t>
  </si>
  <si>
    <t>El taller de biomasa, por el fuerte olor que me provocó fuertes dolores de cabeza durante la visita.</t>
  </si>
  <si>
    <t>Hacerlo más cómodo para los visitantes, no solo ir de taller en taller dependiendo de la persona a cargo de la presentación.</t>
  </si>
  <si>
    <t>El taller en el que nos hablan de la creación de un coche de carreras</t>
  </si>
  <si>
    <t>El taller de tecnología</t>
  </si>
  <si>
    <t>A veces que los visitantes puedan participar más</t>
  </si>
  <si>
    <t>esta muy bien todo</t>
  </si>
  <si>
    <t>Los talleres más interactivos como el escape room o el taller 3D</t>
  </si>
  <si>
    <t>Una solo taller que no me acuerdo muy bien porque estaba cansado y casi me duermo mas que era un poquito aburrido</t>
  </si>
  <si>
    <t>Más interacción en las que tienen poca interación.</t>
  </si>
  <si>
    <t>En mi caso necesitaría que me gustará más, porque gracias a la visita me percaté de que hay bastantes ramas dentro de la ingeniería y que hay bastantes opciones y pude informarme.</t>
  </si>
  <si>
    <t>Lo que más me ha gustado en mi caso ha sido que al darnos la oportunidad de ir a diferentes talleres, ha hecho que nos introduzcamos más en las diferentes ramas de la ingeniería y conocer más información sobre ellas ya que yo no sabía que había tantas posibilidades, o que fuera tan interesante, me esperaba que fuera aburrido, y que todo fuese cálculos pero me sorprendió.</t>
  </si>
  <si>
    <t>No hay nada que me haya gustado menos, creo que en general ha estado bastante bien y he aprendido mucho.</t>
  </si>
  <si>
    <t>Que nos han explicado cuales son las diferentes ramas de la ingeniería y los talleres de impresión, coches y el taller de electrónica.</t>
  </si>
  <si>
    <t>Quizá el taller de la biblioteca o el de energía renovable.</t>
  </si>
  <si>
    <t>Quizá alguna actividad en el taller de energía renovable</t>
  </si>
  <si>
    <t>La dinámica que tenían algunos talleres.</t>
  </si>
  <si>
    <t>Que algunos talleres se hacían demasiado largos, y pasábamos demasiado tiempo de pie, además que el tiempo que había entre un taller y otro.</t>
  </si>
  <si>
    <t>Creo que se debería mostrar algo más de entusiasmo al impartirnos sus conocimientos.</t>
  </si>
  <si>
    <t>Nada crreo</t>
  </si>
  <si>
    <t>todos los talleres</t>
  </si>
  <si>
    <t>el desayno</t>
  </si>
  <si>
    <t>que los bocadillos tengan mas variedad</t>
  </si>
  <si>
    <t>Más actividades en la que nosotros participemos, no tantas charlas.</t>
  </si>
  <si>
    <t>LAS SILLAS.</t>
  </si>
  <si>
    <t>mas tecnologia y mas uso de ordenador</t>
  </si>
  <si>
    <t>todo lo de las narices electrónicas</t>
  </si>
  <si>
    <t>nada, creo q me ha gustado todo</t>
  </si>
  <si>
    <t>La zona del coche y la zona de elctrónica</t>
  </si>
  <si>
    <t>Ninguna ha estado bastante bien</t>
  </si>
  <si>
    <t>el taller de figuras tres de junto a la clase sobre facturación</t>
  </si>
  <si>
    <t>Todo me gusto en su medida</t>
  </si>
  <si>
    <t>f1</t>
  </si>
  <si>
    <t>x</t>
  </si>
  <si>
    <t>El taller de motosport</t>
  </si>
  <si>
    <t>El taller sobre hidrógeno</t>
  </si>
  <si>
    <t>Creo que fue muy buena en general</t>
  </si>
  <si>
    <t>Lo que más me ha gustado ha sido el taller motosport</t>
  </si>
  <si>
    <t>Que no eran talleres.</t>
  </si>
  <si>
    <t>Cuando hicieron una prueba delante nuestra</t>
  </si>
  <si>
    <t>La practica del hidrógeno ya que no se veia casi nada</t>
  </si>
  <si>
    <t>Nada porque no quiero estudiar ingeniería industrial</t>
  </si>
  <si>
    <t>Era muy poco interactiva, más charlas que talleres</t>
  </si>
  <si>
    <t>Implementar actividades más interactivas y llamativas</t>
  </si>
  <si>
    <t>Los bocadillos del desayuno</t>
  </si>
  <si>
    <t>Yo creo que está todo bien</t>
  </si>
  <si>
    <t>las cortadoras 3d</t>
  </si>
  <si>
    <t>los coches esos</t>
  </si>
  <si>
    <t>mas interactivo</t>
  </si>
  <si>
    <t>El taller de los coches</t>
  </si>
  <si>
    <t>estar tanto tiempo de pie</t>
  </si>
  <si>
    <t>Ver como es el entorno, y un poco de lo que hacen en la universidad</t>
  </si>
  <si>
    <t>Que fuera tan corta</t>
  </si>
  <si>
    <t>Ver más talleres</t>
  </si>
  <si>
    <t>las impresoras</t>
  </si>
  <si>
    <t>factura de la luz</t>
  </si>
  <si>
    <t>el UNEX Motorsport.</t>
  </si>
  <si>
    <t>Está en mi primera opción ya que me parece una universidad muy buena, con buena fama y en crecimiento. Además, está en mi ciudad natal y me gusta la ingenieria.</t>
  </si>
  <si>
    <t>La charla del sub-director.</t>
  </si>
  <si>
    <t>El taller de la energía de cuanto pagas mensualmente</t>
  </si>
  <si>
    <t>Ser más dinámico y enseñar mas talleres, clases, enseñar como se impartes, etc.</t>
  </si>
  <si>
    <t>El taller de lo de las carreras</t>
  </si>
  <si>
    <t>no hicimos todos los talleres</t>
  </si>
  <si>
    <t>hacer todos los talleres</t>
  </si>
  <si>
    <t>la usiversidad y las actividades realizadas</t>
  </si>
  <si>
    <t>la corta duracion de la visita</t>
  </si>
  <si>
    <t>llamarme mas la atención</t>
  </si>
  <si>
    <t>aprender</t>
  </si>
  <si>
    <t>los bocatas</t>
  </si>
  <si>
    <t>la alimentacion</t>
  </si>
  <si>
    <t>el poco espacio</t>
  </si>
  <si>
    <t>La parte del motorsport y las fotos de mi profesora Nuria.</t>
  </si>
  <si>
    <t>UNEX Motorsport (ya me gustaba antes de la visita)</t>
  </si>
  <si>
    <t>La parte del consumo energético aunque ha sido útil</t>
  </si>
  <si>
    <t>Hombre</t>
  </si>
  <si>
    <t>Estudiante Universitario</t>
  </si>
  <si>
    <t>Profesor Senior</t>
  </si>
  <si>
    <t>Mujer</t>
  </si>
  <si>
    <t>Mixto</t>
  </si>
  <si>
    <t>Investigador Joven</t>
  </si>
  <si>
    <t>tipo_mentor</t>
  </si>
  <si>
    <t>genero_mentor</t>
  </si>
  <si>
    <t>taller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</si>
</sst>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1" fillId="4" borderId="1" xfId="0" applyFont="1" applyFill="1" applyBorder="1" applyAlignment="1">
      <alignment horizontal="center" vertical="center" wrapText="1"/>
    </xf>
    <xf numFmtId="0" fontId="0" fillId="4" borderId="2"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4D2F-37AA-4978-8186-609EF6C1846E}">
  <dimension ref="A1:BJ585"/>
  <sheetViews>
    <sheetView tabSelected="1" zoomScale="115" zoomScaleNormal="115" workbookViewId="0">
      <pane ySplit="1" topLeftCell="A240" activePane="bottomLeft" state="frozen"/>
      <selection pane="bottomLeft" activeCell="E240" sqref="E240"/>
    </sheetView>
  </sheetViews>
  <sheetFormatPr baseColWidth="10" defaultRowHeight="14.4" x14ac:dyDescent="0.3"/>
  <cols>
    <col min="1" max="1" width="11.5546875" style="3"/>
    <col min="2" max="2" width="17.21875" style="3" customWidth="1"/>
    <col min="3" max="3" width="29.77734375" style="3" bestFit="1" customWidth="1"/>
    <col min="4" max="4" width="25.33203125" style="3" customWidth="1"/>
    <col min="5" max="5" width="21.109375" style="4" customWidth="1"/>
    <col min="6" max="6" width="11" style="4" bestFit="1" customWidth="1"/>
    <col min="7" max="50" width="11.5546875" style="4"/>
    <col min="51" max="51" width="11.5546875" style="3"/>
    <col min="52" max="52" width="16.44140625" style="3" bestFit="1" customWidth="1"/>
    <col min="53" max="53" width="14" style="3" customWidth="1"/>
    <col min="54" max="54" width="15.6640625" style="3" bestFit="1" customWidth="1"/>
    <col min="55" max="55" width="11.5546875" style="3"/>
    <col min="56" max="56" width="20.5546875" style="3" bestFit="1" customWidth="1"/>
    <col min="57" max="57" width="33.21875" style="3" bestFit="1" customWidth="1"/>
    <col min="58" max="58" width="25.88671875" style="3" customWidth="1"/>
    <col min="59" max="59" width="11.5546875" style="3"/>
    <col min="60" max="60" width="14.109375" style="3" customWidth="1"/>
    <col min="61" max="16384" width="11.5546875" style="3"/>
  </cols>
  <sheetData>
    <row r="1" spans="1:60" s="1" customFormat="1" ht="142.19999999999999" customHeight="1" x14ac:dyDescent="0.3">
      <c r="A1" s="1" t="s">
        <v>1137</v>
      </c>
      <c r="B1" s="1" t="s">
        <v>1144</v>
      </c>
      <c r="C1" s="1" t="s">
        <v>1138</v>
      </c>
      <c r="D1" s="1" t="s">
        <v>0</v>
      </c>
      <c r="E1" s="2" t="s">
        <v>114</v>
      </c>
      <c r="F1" s="2" t="s">
        <v>115</v>
      </c>
      <c r="G1" s="2" t="s">
        <v>1</v>
      </c>
      <c r="H1" s="2" t="s">
        <v>2</v>
      </c>
      <c r="I1" s="2" t="s">
        <v>605</v>
      </c>
      <c r="J1" s="2" t="s">
        <v>606</v>
      </c>
      <c r="K1" s="2" t="s">
        <v>6</v>
      </c>
      <c r="L1" s="2" t="s">
        <v>7</v>
      </c>
      <c r="M1" s="2" t="s">
        <v>3</v>
      </c>
      <c r="N1" s="2" t="s">
        <v>4</v>
      </c>
      <c r="O1" s="2" t="s">
        <v>116</v>
      </c>
      <c r="P1" s="2" t="s">
        <v>117</v>
      </c>
      <c r="Q1" s="2" t="s">
        <v>118</v>
      </c>
      <c r="R1" s="2" t="s">
        <v>119</v>
      </c>
      <c r="S1" s="2" t="s">
        <v>120</v>
      </c>
      <c r="T1" s="2" t="s">
        <v>121</v>
      </c>
      <c r="U1" s="2" t="s">
        <v>122</v>
      </c>
      <c r="V1" s="2" t="s">
        <v>123</v>
      </c>
      <c r="W1" s="2" t="s">
        <v>124</v>
      </c>
      <c r="X1" s="2" t="s">
        <v>5</v>
      </c>
      <c r="Y1" s="2" t="s">
        <v>8</v>
      </c>
      <c r="Z1" s="2" t="s">
        <v>125</v>
      </c>
      <c r="AA1" s="2" t="s">
        <v>126</v>
      </c>
      <c r="AB1" s="2" t="s">
        <v>1140</v>
      </c>
      <c r="AC1" s="2" t="s">
        <v>127</v>
      </c>
      <c r="AD1" s="2" t="s">
        <v>128</v>
      </c>
      <c r="AE1" s="2" t="s">
        <v>129</v>
      </c>
      <c r="AF1" s="2" t="s">
        <v>130</v>
      </c>
      <c r="AG1" s="2" t="s">
        <v>131</v>
      </c>
      <c r="AH1" s="2" t="s">
        <v>132</v>
      </c>
      <c r="AI1" s="2" t="s">
        <v>133</v>
      </c>
      <c r="AJ1" s="2" t="s">
        <v>134</v>
      </c>
      <c r="AK1" s="2" t="s">
        <v>603</v>
      </c>
      <c r="AL1" s="2" t="s">
        <v>604</v>
      </c>
      <c r="AM1" s="2" t="s">
        <v>607</v>
      </c>
      <c r="AN1" s="2" t="s">
        <v>608</v>
      </c>
      <c r="AO1" s="2" t="s">
        <v>609</v>
      </c>
      <c r="AP1" s="2" t="s">
        <v>610</v>
      </c>
      <c r="AQ1" s="2" t="s">
        <v>611</v>
      </c>
      <c r="AR1" s="2" t="s">
        <v>612</v>
      </c>
      <c r="AS1" s="2" t="s">
        <v>613</v>
      </c>
      <c r="AT1" s="2" t="s">
        <v>614</v>
      </c>
      <c r="AU1" s="2" t="s">
        <v>601</v>
      </c>
      <c r="AV1" s="2" t="s">
        <v>602</v>
      </c>
      <c r="AW1" s="2" t="s">
        <v>1135</v>
      </c>
      <c r="AX1" s="2" t="s">
        <v>1136</v>
      </c>
      <c r="AY1" s="1" t="s">
        <v>9</v>
      </c>
      <c r="AZ1" s="1" t="s">
        <v>10</v>
      </c>
      <c r="BA1" s="1" t="s">
        <v>1142</v>
      </c>
      <c r="BB1" s="1" t="s">
        <v>11</v>
      </c>
      <c r="BC1" s="1" t="s">
        <v>12</v>
      </c>
      <c r="BD1" s="1" t="s">
        <v>599</v>
      </c>
      <c r="BE1" s="1" t="s">
        <v>600</v>
      </c>
      <c r="BF1" s="1" t="s">
        <v>13</v>
      </c>
      <c r="BG1" s="1" t="s">
        <v>14</v>
      </c>
      <c r="BH1" s="1" t="s">
        <v>15</v>
      </c>
    </row>
    <row r="2" spans="1:60" x14ac:dyDescent="0.3">
      <c r="A2" s="3" t="s">
        <v>1139</v>
      </c>
      <c r="B2" s="3" t="s">
        <v>26</v>
      </c>
      <c r="C2" s="3">
        <v>17</v>
      </c>
      <c r="D2" s="3">
        <v>10</v>
      </c>
      <c r="E2" s="4">
        <v>10</v>
      </c>
      <c r="F2" s="4">
        <v>10</v>
      </c>
      <c r="G2" s="4">
        <v>10</v>
      </c>
      <c r="H2" s="4">
        <v>10</v>
      </c>
      <c r="I2" s="4">
        <v>10</v>
      </c>
      <c r="J2" s="4">
        <v>10</v>
      </c>
      <c r="K2" s="4">
        <v>10</v>
      </c>
      <c r="L2" s="4">
        <v>10</v>
      </c>
      <c r="M2" s="4">
        <v>10</v>
      </c>
      <c r="N2" s="4">
        <v>10</v>
      </c>
      <c r="O2" s="4">
        <v>10</v>
      </c>
      <c r="P2" s="4">
        <v>10</v>
      </c>
      <c r="Q2" s="4">
        <v>10</v>
      </c>
      <c r="R2" s="4">
        <v>10</v>
      </c>
      <c r="S2" s="4">
        <v>10</v>
      </c>
      <c r="T2" s="4">
        <v>10</v>
      </c>
      <c r="U2" s="4">
        <v>10</v>
      </c>
      <c r="V2" s="4">
        <v>10</v>
      </c>
      <c r="AY2" s="3" t="s">
        <v>22</v>
      </c>
      <c r="AZ2" s="3" t="s">
        <v>22</v>
      </c>
      <c r="BD2" s="3" t="str">
        <f>IF(AY2="Sí", "Alto", IF(AY2="Tal vez", "Moderado", IF(AY2="No", "Bajo", "")))</f>
        <v>Alto</v>
      </c>
      <c r="BE2" s="3" t="str">
        <f>IF(AZ2="Sí", "Aumentó", IF(AY2="Tal vez", "Se mantuvo igual", IF(AY2="No", "Se mantuvo igual", "")))</f>
        <v>Aumentó</v>
      </c>
      <c r="BF2" s="3" t="s">
        <v>135</v>
      </c>
      <c r="BG2" s="3" t="s">
        <v>28</v>
      </c>
      <c r="BH2" s="3" t="s">
        <v>28</v>
      </c>
    </row>
    <row r="3" spans="1:60" x14ac:dyDescent="0.3">
      <c r="A3" s="3" t="s">
        <v>1139</v>
      </c>
      <c r="B3" s="3" t="s">
        <v>26</v>
      </c>
      <c r="C3" s="3">
        <v>17</v>
      </c>
      <c r="D3" s="3">
        <v>10</v>
      </c>
      <c r="E3" s="4">
        <v>10</v>
      </c>
      <c r="F3" s="4">
        <v>10</v>
      </c>
      <c r="G3" s="4">
        <v>10</v>
      </c>
      <c r="H3" s="4">
        <v>10</v>
      </c>
      <c r="I3" s="4">
        <v>10</v>
      </c>
      <c r="J3" s="4">
        <v>10</v>
      </c>
      <c r="K3" s="4">
        <v>10</v>
      </c>
      <c r="L3" s="4">
        <v>10</v>
      </c>
      <c r="M3" s="4">
        <v>10</v>
      </c>
      <c r="N3" s="4">
        <v>10</v>
      </c>
      <c r="O3" s="4">
        <v>10</v>
      </c>
      <c r="P3" s="4">
        <v>10</v>
      </c>
      <c r="Q3" s="4">
        <v>10</v>
      </c>
      <c r="R3" s="4">
        <v>10</v>
      </c>
      <c r="S3" s="4">
        <v>10</v>
      </c>
      <c r="T3" s="4">
        <v>10</v>
      </c>
      <c r="U3" s="4">
        <v>10</v>
      </c>
      <c r="V3" s="4">
        <v>10</v>
      </c>
      <c r="AY3" s="3" t="s">
        <v>18</v>
      </c>
      <c r="AZ3" s="3" t="s">
        <v>18</v>
      </c>
      <c r="BD3" s="3" t="str">
        <f>IF(AY3="Sí", "Alto", IF(AY3="Tal vez", "Moderado", IF(AY3="No", "Bajo", "")))</f>
        <v>Moderado</v>
      </c>
      <c r="BE3" s="3" t="str">
        <f t="shared" ref="BE3:BE66" si="0">IF(AZ3="Sí", "Aumentó", IF(AY3="Tal vez", "Se mantuvo igual", IF(AY3="No", "Se mantuvo igual", "")))</f>
        <v>Se mantuvo igual</v>
      </c>
      <c r="BF3" s="3" t="s">
        <v>136</v>
      </c>
      <c r="BG3" s="3" t="s">
        <v>137</v>
      </c>
      <c r="BH3" s="3" t="s">
        <v>138</v>
      </c>
    </row>
    <row r="4" spans="1:60" x14ac:dyDescent="0.3">
      <c r="A4" s="3" t="s">
        <v>1139</v>
      </c>
      <c r="B4" s="3" t="s">
        <v>26</v>
      </c>
      <c r="C4" s="3">
        <v>17</v>
      </c>
      <c r="D4" s="3">
        <v>10</v>
      </c>
      <c r="E4" s="4">
        <v>8</v>
      </c>
      <c r="F4" s="4">
        <v>9</v>
      </c>
      <c r="G4" s="4">
        <v>10</v>
      </c>
      <c r="H4" s="4">
        <v>10</v>
      </c>
      <c r="I4" s="4">
        <v>10</v>
      </c>
      <c r="J4" s="4">
        <v>10</v>
      </c>
      <c r="K4" s="4">
        <v>10</v>
      </c>
      <c r="L4" s="4">
        <v>10</v>
      </c>
      <c r="M4" s="4">
        <v>10</v>
      </c>
      <c r="N4" s="4">
        <v>10</v>
      </c>
      <c r="O4" s="4">
        <v>10</v>
      </c>
      <c r="P4" s="4">
        <v>10</v>
      </c>
      <c r="Q4" s="4">
        <v>10</v>
      </c>
      <c r="R4" s="4">
        <v>10</v>
      </c>
      <c r="S4" s="4">
        <v>10</v>
      </c>
      <c r="T4" s="4">
        <v>10</v>
      </c>
      <c r="U4" s="4">
        <v>10</v>
      </c>
      <c r="V4" s="4">
        <v>10</v>
      </c>
      <c r="AY4" s="3" t="s">
        <v>18</v>
      </c>
      <c r="AZ4" s="3" t="s">
        <v>22</v>
      </c>
      <c r="BD4" s="3" t="str">
        <f t="shared" ref="BD4:BD67" si="1">IF(AY4="Sí", "Alto", IF(AY4="Tal vez", "Moderado", IF(AY4="No", "Bajo", "")))</f>
        <v>Moderado</v>
      </c>
      <c r="BE4" s="3" t="str">
        <f t="shared" si="0"/>
        <v>Aumentó</v>
      </c>
      <c r="BF4" s="3" t="s">
        <v>100</v>
      </c>
      <c r="BG4" s="3" t="s">
        <v>137</v>
      </c>
      <c r="BH4" s="3" t="s">
        <v>139</v>
      </c>
    </row>
    <row r="5" spans="1:60" x14ac:dyDescent="0.3">
      <c r="A5" s="3" t="s">
        <v>1139</v>
      </c>
      <c r="B5" s="3" t="s">
        <v>26</v>
      </c>
      <c r="C5" s="3">
        <v>17</v>
      </c>
      <c r="D5" s="3">
        <v>8</v>
      </c>
      <c r="E5" s="4">
        <v>7</v>
      </c>
      <c r="F5" s="4">
        <v>9</v>
      </c>
      <c r="G5" s="4">
        <v>10</v>
      </c>
      <c r="H5" s="4">
        <v>10</v>
      </c>
      <c r="I5" s="4">
        <v>8</v>
      </c>
      <c r="J5" s="4">
        <v>9</v>
      </c>
      <c r="K5" s="4">
        <v>7</v>
      </c>
      <c r="L5" s="4">
        <v>8</v>
      </c>
      <c r="U5" s="4">
        <v>7</v>
      </c>
      <c r="V5" s="4">
        <v>8</v>
      </c>
      <c r="AY5" s="3" t="s">
        <v>18</v>
      </c>
      <c r="AZ5" s="3" t="s">
        <v>22</v>
      </c>
      <c r="BD5" s="3" t="str">
        <f t="shared" si="1"/>
        <v>Moderado</v>
      </c>
      <c r="BE5" s="3" t="str">
        <f t="shared" si="0"/>
        <v>Aumentó</v>
      </c>
      <c r="BF5" s="3" t="s">
        <v>140</v>
      </c>
      <c r="BG5" s="3" t="s">
        <v>141</v>
      </c>
    </row>
    <row r="6" spans="1:60" x14ac:dyDescent="0.3">
      <c r="A6" s="3" t="s">
        <v>1139</v>
      </c>
      <c r="B6" s="3" t="s">
        <v>26</v>
      </c>
      <c r="C6" s="3">
        <v>17</v>
      </c>
      <c r="D6" s="3">
        <v>10</v>
      </c>
      <c r="E6" s="4">
        <v>10</v>
      </c>
      <c r="F6" s="4">
        <v>10</v>
      </c>
      <c r="G6" s="4">
        <v>10</v>
      </c>
      <c r="H6" s="4">
        <v>10</v>
      </c>
      <c r="I6" s="4">
        <v>10</v>
      </c>
      <c r="J6" s="4">
        <v>10</v>
      </c>
      <c r="K6" s="4">
        <v>10</v>
      </c>
      <c r="L6" s="4">
        <v>10</v>
      </c>
      <c r="M6" s="4">
        <v>10</v>
      </c>
      <c r="N6" s="4">
        <v>10</v>
      </c>
      <c r="O6" s="4">
        <v>10</v>
      </c>
      <c r="P6" s="4">
        <v>10</v>
      </c>
      <c r="Q6" s="4">
        <v>10</v>
      </c>
      <c r="R6" s="4">
        <v>10</v>
      </c>
      <c r="S6" s="4">
        <v>10</v>
      </c>
      <c r="T6" s="4">
        <v>10</v>
      </c>
      <c r="U6" s="4">
        <v>10</v>
      </c>
      <c r="V6" s="4">
        <v>10</v>
      </c>
      <c r="AY6" s="3" t="s">
        <v>22</v>
      </c>
      <c r="AZ6" s="3" t="s">
        <v>22</v>
      </c>
      <c r="BD6" s="3" t="str">
        <f t="shared" si="1"/>
        <v>Alto</v>
      </c>
      <c r="BE6" s="3" t="str">
        <f t="shared" si="0"/>
        <v>Aumentó</v>
      </c>
      <c r="BF6" s="3" t="s">
        <v>142</v>
      </c>
      <c r="BG6" s="3" t="s">
        <v>24</v>
      </c>
    </row>
    <row r="7" spans="1:60" x14ac:dyDescent="0.3">
      <c r="A7" s="3" t="s">
        <v>1139</v>
      </c>
      <c r="B7" s="3" t="s">
        <v>26</v>
      </c>
      <c r="C7" s="3">
        <v>18</v>
      </c>
      <c r="D7" s="3">
        <v>9</v>
      </c>
      <c r="E7" s="4">
        <v>9</v>
      </c>
      <c r="F7" s="4">
        <v>9</v>
      </c>
      <c r="G7" s="4">
        <v>10</v>
      </c>
      <c r="H7" s="4">
        <v>10</v>
      </c>
      <c r="I7" s="4">
        <v>10</v>
      </c>
      <c r="J7" s="4">
        <v>10</v>
      </c>
      <c r="K7" s="4">
        <v>10</v>
      </c>
      <c r="L7" s="4">
        <v>10</v>
      </c>
      <c r="M7" s="4">
        <v>10</v>
      </c>
      <c r="N7" s="4">
        <v>10</v>
      </c>
      <c r="O7" s="4">
        <v>10</v>
      </c>
      <c r="P7" s="4">
        <v>10</v>
      </c>
      <c r="Q7" s="4">
        <v>10</v>
      </c>
      <c r="R7" s="4">
        <v>10</v>
      </c>
      <c r="S7" s="4">
        <v>10</v>
      </c>
      <c r="T7" s="4">
        <v>10</v>
      </c>
      <c r="U7" s="4">
        <v>10</v>
      </c>
      <c r="V7" s="4">
        <v>10</v>
      </c>
      <c r="AY7" s="3" t="s">
        <v>22</v>
      </c>
      <c r="AZ7" s="3" t="s">
        <v>22</v>
      </c>
      <c r="BD7" s="3" t="str">
        <f t="shared" si="1"/>
        <v>Alto</v>
      </c>
      <c r="BE7" s="3" t="str">
        <f t="shared" si="0"/>
        <v>Aumentó</v>
      </c>
      <c r="BF7" s="3" t="s">
        <v>143</v>
      </c>
      <c r="BG7" s="3" t="s">
        <v>28</v>
      </c>
      <c r="BH7" s="3" t="s">
        <v>144</v>
      </c>
    </row>
    <row r="8" spans="1:60" x14ac:dyDescent="0.3">
      <c r="A8" s="3" t="s">
        <v>1139</v>
      </c>
      <c r="B8" s="3" t="s">
        <v>26</v>
      </c>
      <c r="C8" s="3">
        <v>17</v>
      </c>
      <c r="D8" s="3">
        <v>9</v>
      </c>
      <c r="G8" s="4">
        <v>10</v>
      </c>
      <c r="H8" s="4">
        <v>10</v>
      </c>
      <c r="I8" s="4">
        <v>9</v>
      </c>
      <c r="J8" s="4">
        <v>9</v>
      </c>
      <c r="K8" s="4">
        <v>10</v>
      </c>
      <c r="L8" s="4">
        <v>10</v>
      </c>
      <c r="U8" s="4">
        <v>10</v>
      </c>
      <c r="V8" s="4">
        <v>10</v>
      </c>
      <c r="AY8" s="3" t="s">
        <v>22</v>
      </c>
      <c r="AZ8" s="3" t="s">
        <v>22</v>
      </c>
      <c r="BD8" s="3" t="str">
        <f t="shared" si="1"/>
        <v>Alto</v>
      </c>
      <c r="BE8" s="3" t="str">
        <f t="shared" si="0"/>
        <v>Aumentó</v>
      </c>
      <c r="BF8" s="3" t="s">
        <v>145</v>
      </c>
      <c r="BG8" s="3" t="s">
        <v>137</v>
      </c>
      <c r="BH8" s="3" t="s">
        <v>146</v>
      </c>
    </row>
    <row r="9" spans="1:60" x14ac:dyDescent="0.3">
      <c r="A9" s="3" t="s">
        <v>1139</v>
      </c>
      <c r="B9" s="3" t="s">
        <v>16</v>
      </c>
      <c r="C9" s="3">
        <v>16</v>
      </c>
      <c r="D9" s="3">
        <v>10</v>
      </c>
      <c r="E9" s="4">
        <v>9</v>
      </c>
      <c r="F9" s="4">
        <v>10</v>
      </c>
      <c r="G9" s="4">
        <v>10</v>
      </c>
      <c r="H9" s="4">
        <v>10</v>
      </c>
      <c r="I9" s="4">
        <v>10</v>
      </c>
      <c r="J9" s="4">
        <v>10</v>
      </c>
      <c r="K9" s="4">
        <v>10</v>
      </c>
      <c r="L9" s="4">
        <v>10</v>
      </c>
      <c r="M9" s="4">
        <v>10</v>
      </c>
      <c r="N9" s="4">
        <v>10</v>
      </c>
      <c r="O9" s="4">
        <v>10</v>
      </c>
      <c r="P9" s="4">
        <v>10</v>
      </c>
      <c r="Q9" s="4">
        <v>10</v>
      </c>
      <c r="R9" s="4">
        <v>10</v>
      </c>
      <c r="S9" s="4">
        <v>10</v>
      </c>
      <c r="T9" s="4">
        <v>10</v>
      </c>
      <c r="U9" s="4">
        <v>10</v>
      </c>
      <c r="V9" s="4">
        <v>10</v>
      </c>
      <c r="AY9" s="3" t="s">
        <v>18</v>
      </c>
      <c r="AZ9" s="3" t="s">
        <v>22</v>
      </c>
      <c r="BD9" s="3" t="str">
        <f t="shared" si="1"/>
        <v>Moderado</v>
      </c>
      <c r="BE9" s="3" t="str">
        <f t="shared" si="0"/>
        <v>Aumentó</v>
      </c>
      <c r="BF9" s="3" t="s">
        <v>147</v>
      </c>
      <c r="BG9" s="3" t="s">
        <v>93</v>
      </c>
    </row>
    <row r="10" spans="1:60" x14ac:dyDescent="0.3">
      <c r="A10" s="3" t="s">
        <v>1139</v>
      </c>
      <c r="B10" s="3" t="s">
        <v>16</v>
      </c>
      <c r="C10" s="3">
        <v>16</v>
      </c>
      <c r="D10" s="3">
        <v>10</v>
      </c>
      <c r="E10" s="4">
        <v>10</v>
      </c>
      <c r="F10" s="4">
        <v>10</v>
      </c>
      <c r="G10" s="4">
        <v>10</v>
      </c>
      <c r="H10" s="4">
        <v>10</v>
      </c>
      <c r="I10" s="4">
        <v>10</v>
      </c>
      <c r="J10" s="4">
        <v>10</v>
      </c>
      <c r="K10" s="4">
        <v>10</v>
      </c>
      <c r="L10" s="4">
        <v>10</v>
      </c>
      <c r="M10" s="4">
        <v>10</v>
      </c>
      <c r="N10" s="4">
        <v>10</v>
      </c>
      <c r="O10" s="4">
        <v>10</v>
      </c>
      <c r="P10" s="4">
        <v>10</v>
      </c>
      <c r="Q10" s="4">
        <v>10</v>
      </c>
      <c r="R10" s="4">
        <v>10</v>
      </c>
      <c r="S10" s="4">
        <v>10</v>
      </c>
      <c r="T10" s="4">
        <v>10</v>
      </c>
      <c r="U10" s="4">
        <v>10</v>
      </c>
      <c r="V10" s="4">
        <v>10</v>
      </c>
      <c r="AY10" s="3" t="s">
        <v>18</v>
      </c>
      <c r="AZ10" s="3" t="s">
        <v>22</v>
      </c>
      <c r="BD10" s="3" t="str">
        <f t="shared" si="1"/>
        <v>Moderado</v>
      </c>
      <c r="BE10" s="3" t="str">
        <f t="shared" si="0"/>
        <v>Aumentó</v>
      </c>
      <c r="BF10" s="3" t="s">
        <v>148</v>
      </c>
      <c r="BG10" s="3" t="s">
        <v>97</v>
      </c>
    </row>
    <row r="11" spans="1:60" x14ac:dyDescent="0.3">
      <c r="A11" s="3" t="s">
        <v>1139</v>
      </c>
      <c r="B11" s="3" t="s">
        <v>26</v>
      </c>
      <c r="C11" s="3">
        <v>17</v>
      </c>
      <c r="D11" s="3">
        <v>9</v>
      </c>
      <c r="E11" s="4">
        <v>9</v>
      </c>
      <c r="F11" s="4">
        <v>9</v>
      </c>
      <c r="G11" s="4">
        <v>9</v>
      </c>
      <c r="H11" s="4">
        <v>9</v>
      </c>
      <c r="I11" s="4">
        <v>9</v>
      </c>
      <c r="J11" s="4">
        <v>9</v>
      </c>
      <c r="K11" s="4">
        <v>9</v>
      </c>
      <c r="L11" s="4">
        <v>9</v>
      </c>
      <c r="M11" s="4">
        <v>9</v>
      </c>
      <c r="N11" s="4">
        <v>9</v>
      </c>
      <c r="O11" s="4">
        <v>9</v>
      </c>
      <c r="P11" s="4">
        <v>9</v>
      </c>
      <c r="Q11" s="4">
        <v>9</v>
      </c>
      <c r="R11" s="4">
        <v>9</v>
      </c>
      <c r="S11" s="4">
        <v>9</v>
      </c>
      <c r="T11" s="4">
        <v>9</v>
      </c>
      <c r="U11" s="4">
        <v>9</v>
      </c>
      <c r="V11" s="4">
        <v>9</v>
      </c>
      <c r="AY11" s="3" t="s">
        <v>18</v>
      </c>
      <c r="AZ11" s="3" t="s">
        <v>18</v>
      </c>
      <c r="BD11" s="3" t="str">
        <f t="shared" si="1"/>
        <v>Moderado</v>
      </c>
      <c r="BE11" s="3" t="str">
        <f t="shared" si="0"/>
        <v>Se mantuvo igual</v>
      </c>
      <c r="BF11" s="3" t="s">
        <v>149</v>
      </c>
      <c r="BG11" s="3" t="s">
        <v>137</v>
      </c>
      <c r="BH11" s="3" t="s">
        <v>146</v>
      </c>
    </row>
    <row r="12" spans="1:60" x14ac:dyDescent="0.3">
      <c r="A12" s="3" t="s">
        <v>1139</v>
      </c>
      <c r="B12" s="3" t="s">
        <v>16</v>
      </c>
      <c r="C12" s="3">
        <v>17</v>
      </c>
      <c r="D12" s="3">
        <v>10</v>
      </c>
      <c r="E12" s="4">
        <v>10</v>
      </c>
      <c r="F12" s="4">
        <v>10</v>
      </c>
      <c r="G12" s="4">
        <v>10</v>
      </c>
      <c r="H12" s="4">
        <v>10</v>
      </c>
      <c r="I12" s="4">
        <v>10</v>
      </c>
      <c r="J12" s="4">
        <v>10</v>
      </c>
      <c r="K12" s="4">
        <v>10</v>
      </c>
      <c r="L12" s="4">
        <v>10</v>
      </c>
      <c r="M12" s="4">
        <v>10</v>
      </c>
      <c r="N12" s="4">
        <v>10</v>
      </c>
      <c r="O12" s="4">
        <v>10</v>
      </c>
      <c r="P12" s="4">
        <v>10</v>
      </c>
      <c r="Q12" s="4">
        <v>10</v>
      </c>
      <c r="R12" s="4">
        <v>10</v>
      </c>
      <c r="S12" s="4">
        <v>10</v>
      </c>
      <c r="T12" s="4">
        <v>10</v>
      </c>
      <c r="U12" s="4">
        <v>10</v>
      </c>
      <c r="V12" s="4">
        <v>10</v>
      </c>
      <c r="AY12" s="3" t="s">
        <v>18</v>
      </c>
      <c r="AZ12" s="3" t="s">
        <v>22</v>
      </c>
      <c r="BD12" s="3" t="str">
        <f t="shared" si="1"/>
        <v>Moderado</v>
      </c>
      <c r="BE12" s="3" t="str">
        <f t="shared" si="0"/>
        <v>Aumentó</v>
      </c>
      <c r="BF12" s="3" t="s">
        <v>150</v>
      </c>
      <c r="BG12" s="3" t="s">
        <v>151</v>
      </c>
      <c r="BH12" s="3" t="s">
        <v>152</v>
      </c>
    </row>
    <row r="13" spans="1:60" x14ac:dyDescent="0.3">
      <c r="A13" s="3" t="s">
        <v>1139</v>
      </c>
      <c r="B13" s="3" t="s">
        <v>26</v>
      </c>
      <c r="C13" s="3">
        <v>18</v>
      </c>
      <c r="D13" s="3">
        <v>9</v>
      </c>
      <c r="G13" s="4">
        <v>10</v>
      </c>
      <c r="H13" s="4">
        <v>10</v>
      </c>
      <c r="I13" s="4">
        <v>6</v>
      </c>
      <c r="J13" s="4">
        <v>5</v>
      </c>
      <c r="K13" s="4">
        <v>9</v>
      </c>
      <c r="L13" s="4">
        <v>8</v>
      </c>
      <c r="M13" s="4">
        <v>5</v>
      </c>
      <c r="N13" s="4">
        <v>5</v>
      </c>
      <c r="U13" s="4">
        <v>8</v>
      </c>
      <c r="V13" s="4">
        <v>8</v>
      </c>
      <c r="AY13" s="3" t="s">
        <v>22</v>
      </c>
      <c r="AZ13" s="3" t="s">
        <v>22</v>
      </c>
      <c r="BD13" s="3" t="str">
        <f t="shared" si="1"/>
        <v>Alto</v>
      </c>
      <c r="BE13" s="3" t="str">
        <f t="shared" si="0"/>
        <v>Aumentó</v>
      </c>
      <c r="BF13" s="3" t="s">
        <v>140</v>
      </c>
      <c r="BG13" s="3" t="s">
        <v>153</v>
      </c>
    </row>
    <row r="14" spans="1:60" x14ac:dyDescent="0.3">
      <c r="A14" s="3" t="s">
        <v>1139</v>
      </c>
      <c r="B14" s="3" t="s">
        <v>16</v>
      </c>
      <c r="C14" s="3">
        <v>17</v>
      </c>
      <c r="D14" s="3">
        <v>9</v>
      </c>
      <c r="E14" s="4">
        <v>10</v>
      </c>
      <c r="F14" s="4">
        <v>8</v>
      </c>
      <c r="G14" s="4">
        <v>8</v>
      </c>
      <c r="H14" s="4">
        <v>8</v>
      </c>
      <c r="I14" s="4">
        <v>10</v>
      </c>
      <c r="J14" s="4">
        <v>10</v>
      </c>
      <c r="K14" s="4">
        <v>7</v>
      </c>
      <c r="L14" s="4">
        <v>8</v>
      </c>
      <c r="M14" s="4">
        <v>7</v>
      </c>
      <c r="N14" s="4">
        <v>8</v>
      </c>
      <c r="O14" s="4">
        <v>7</v>
      </c>
      <c r="P14" s="4">
        <v>8</v>
      </c>
      <c r="Q14" s="4">
        <v>8</v>
      </c>
      <c r="R14" s="4">
        <v>8</v>
      </c>
      <c r="S14" s="4">
        <v>8</v>
      </c>
      <c r="T14" s="4">
        <v>8</v>
      </c>
      <c r="U14" s="4">
        <v>7</v>
      </c>
      <c r="V14" s="4">
        <v>7</v>
      </c>
      <c r="AY14" s="3" t="s">
        <v>18</v>
      </c>
      <c r="AZ14" s="3" t="s">
        <v>18</v>
      </c>
      <c r="BD14" s="3" t="str">
        <f t="shared" si="1"/>
        <v>Moderado</v>
      </c>
      <c r="BE14" s="3" t="str">
        <f t="shared" si="0"/>
        <v>Se mantuvo igual</v>
      </c>
      <c r="BF14" s="3" t="s">
        <v>86</v>
      </c>
      <c r="BG14" s="3" t="s">
        <v>28</v>
      </c>
    </row>
    <row r="15" spans="1:60" x14ac:dyDescent="0.3">
      <c r="A15" s="3" t="s">
        <v>1139</v>
      </c>
      <c r="B15" s="3" t="s">
        <v>26</v>
      </c>
      <c r="C15" s="3">
        <v>17</v>
      </c>
      <c r="D15" s="3">
        <v>10</v>
      </c>
      <c r="G15" s="4">
        <v>10</v>
      </c>
      <c r="H15" s="4">
        <v>10</v>
      </c>
      <c r="I15" s="4">
        <v>10</v>
      </c>
      <c r="J15" s="4">
        <v>10</v>
      </c>
      <c r="K15" s="4">
        <v>10</v>
      </c>
      <c r="L15" s="4">
        <v>10</v>
      </c>
      <c r="M15" s="4">
        <v>8</v>
      </c>
      <c r="N15" s="4">
        <v>8</v>
      </c>
      <c r="U15" s="4">
        <v>10</v>
      </c>
      <c r="V15" s="4">
        <v>10</v>
      </c>
      <c r="AY15" s="3" t="s">
        <v>22</v>
      </c>
      <c r="AZ15" s="3" t="s">
        <v>22</v>
      </c>
      <c r="BD15" s="3" t="str">
        <f t="shared" si="1"/>
        <v>Alto</v>
      </c>
      <c r="BE15" s="3" t="str">
        <f t="shared" si="0"/>
        <v>Aumentó</v>
      </c>
      <c r="BF15" s="3" t="s">
        <v>147</v>
      </c>
      <c r="BG15" s="3" t="s">
        <v>28</v>
      </c>
    </row>
    <row r="16" spans="1:60" x14ac:dyDescent="0.3">
      <c r="A16" s="3" t="s">
        <v>1139</v>
      </c>
      <c r="B16" s="3" t="s">
        <v>26</v>
      </c>
      <c r="C16" s="3">
        <v>16</v>
      </c>
      <c r="D16" s="3">
        <v>10</v>
      </c>
      <c r="E16" s="4">
        <v>10</v>
      </c>
      <c r="F16" s="4">
        <v>10</v>
      </c>
      <c r="G16" s="4">
        <v>10</v>
      </c>
      <c r="H16" s="4">
        <v>10</v>
      </c>
      <c r="I16" s="4">
        <v>10</v>
      </c>
      <c r="J16" s="4">
        <v>10</v>
      </c>
      <c r="K16" s="4">
        <v>10</v>
      </c>
      <c r="L16" s="4">
        <v>10</v>
      </c>
      <c r="M16" s="4">
        <v>10</v>
      </c>
      <c r="N16" s="4">
        <v>10</v>
      </c>
      <c r="O16" s="4">
        <v>10</v>
      </c>
      <c r="P16" s="4">
        <v>10</v>
      </c>
      <c r="Q16" s="4">
        <v>10</v>
      </c>
      <c r="R16" s="4">
        <v>10</v>
      </c>
      <c r="S16" s="4">
        <v>10</v>
      </c>
      <c r="T16" s="4">
        <v>10</v>
      </c>
      <c r="U16" s="4">
        <v>10</v>
      </c>
      <c r="V16" s="4">
        <v>10</v>
      </c>
      <c r="AY16" s="3" t="s">
        <v>18</v>
      </c>
      <c r="AZ16" s="3" t="s">
        <v>18</v>
      </c>
      <c r="BD16" s="3" t="str">
        <f t="shared" si="1"/>
        <v>Moderado</v>
      </c>
      <c r="BE16" s="3" t="str">
        <f t="shared" si="0"/>
        <v>Se mantuvo igual</v>
      </c>
      <c r="BF16" s="3" t="s">
        <v>62</v>
      </c>
      <c r="BG16" s="3" t="s">
        <v>28</v>
      </c>
      <c r="BH16" s="3" t="s">
        <v>93</v>
      </c>
    </row>
    <row r="17" spans="1:60" x14ac:dyDescent="0.3">
      <c r="A17" s="3" t="s">
        <v>1139</v>
      </c>
      <c r="B17" s="3" t="s">
        <v>26</v>
      </c>
      <c r="C17" s="3">
        <v>15</v>
      </c>
      <c r="D17" s="3">
        <v>10</v>
      </c>
      <c r="E17" s="4">
        <v>9</v>
      </c>
      <c r="F17" s="4">
        <v>9</v>
      </c>
      <c r="G17" s="4">
        <v>9</v>
      </c>
      <c r="H17" s="4">
        <v>9</v>
      </c>
      <c r="M17" s="4">
        <v>9</v>
      </c>
      <c r="N17" s="4">
        <v>8</v>
      </c>
      <c r="Q17" s="4">
        <v>9</v>
      </c>
      <c r="R17" s="4">
        <v>9</v>
      </c>
      <c r="AY17" s="3" t="s">
        <v>18</v>
      </c>
      <c r="AZ17" s="3" t="s">
        <v>22</v>
      </c>
      <c r="BD17" s="3" t="str">
        <f t="shared" si="1"/>
        <v>Moderado</v>
      </c>
      <c r="BE17" s="3" t="str">
        <f t="shared" si="0"/>
        <v>Aumentó</v>
      </c>
      <c r="BF17" s="3" t="s">
        <v>154</v>
      </c>
      <c r="BG17" s="3" t="s">
        <v>28</v>
      </c>
    </row>
    <row r="18" spans="1:60" x14ac:dyDescent="0.3">
      <c r="A18" s="3" t="s">
        <v>1139</v>
      </c>
      <c r="B18" s="3" t="s">
        <v>26</v>
      </c>
      <c r="C18" s="3">
        <v>17</v>
      </c>
      <c r="D18" s="3">
        <v>10</v>
      </c>
      <c r="E18" s="4">
        <v>10</v>
      </c>
      <c r="F18" s="4">
        <v>10</v>
      </c>
      <c r="G18" s="4">
        <v>10</v>
      </c>
      <c r="H18" s="4">
        <v>10</v>
      </c>
      <c r="I18" s="4">
        <v>1</v>
      </c>
      <c r="J18" s="4">
        <v>1</v>
      </c>
      <c r="K18" s="4">
        <v>10</v>
      </c>
      <c r="L18" s="4">
        <v>10</v>
      </c>
      <c r="M18" s="4">
        <v>10</v>
      </c>
      <c r="N18" s="4">
        <v>10</v>
      </c>
      <c r="O18" s="4">
        <v>10</v>
      </c>
      <c r="P18" s="4">
        <v>10</v>
      </c>
      <c r="Q18" s="4">
        <v>10</v>
      </c>
      <c r="R18" s="4">
        <v>10</v>
      </c>
      <c r="S18" s="4">
        <v>10</v>
      </c>
      <c r="T18" s="4">
        <v>10</v>
      </c>
      <c r="U18" s="4">
        <v>10</v>
      </c>
      <c r="V18" s="4">
        <v>10</v>
      </c>
      <c r="AY18" s="3" t="s">
        <v>18</v>
      </c>
      <c r="AZ18" s="3" t="s">
        <v>22</v>
      </c>
      <c r="BD18" s="3" t="str">
        <f t="shared" si="1"/>
        <v>Moderado</v>
      </c>
      <c r="BE18" s="3" t="str">
        <f t="shared" si="0"/>
        <v>Aumentó</v>
      </c>
      <c r="BF18" s="3" t="s">
        <v>147</v>
      </c>
      <c r="BG18" s="3" t="s">
        <v>155</v>
      </c>
    </row>
    <row r="19" spans="1:60" x14ac:dyDescent="0.3">
      <c r="A19" s="3" t="s">
        <v>1139</v>
      </c>
      <c r="B19" s="3" t="s">
        <v>26</v>
      </c>
      <c r="C19" s="3">
        <v>16</v>
      </c>
      <c r="D19" s="3">
        <v>9</v>
      </c>
      <c r="E19" s="4">
        <v>1</v>
      </c>
      <c r="F19" s="4">
        <v>10</v>
      </c>
      <c r="M19" s="4">
        <v>7</v>
      </c>
      <c r="N19" s="4">
        <v>7</v>
      </c>
      <c r="Q19" s="4">
        <v>3</v>
      </c>
      <c r="R19" s="4">
        <v>9</v>
      </c>
      <c r="AY19" s="3" t="s">
        <v>18</v>
      </c>
      <c r="AZ19" s="3" t="s">
        <v>18</v>
      </c>
      <c r="BA19" s="3" t="s">
        <v>156</v>
      </c>
      <c r="BD19" s="3" t="str">
        <f t="shared" si="1"/>
        <v>Moderado</v>
      </c>
      <c r="BE19" s="3" t="str">
        <f t="shared" si="0"/>
        <v>Se mantuvo igual</v>
      </c>
      <c r="BF19" s="3" t="s">
        <v>157</v>
      </c>
      <c r="BG19" s="3" t="s">
        <v>158</v>
      </c>
    </row>
    <row r="20" spans="1:60" x14ac:dyDescent="0.3">
      <c r="A20" s="3" t="s">
        <v>1139</v>
      </c>
      <c r="B20" s="3" t="s">
        <v>26</v>
      </c>
      <c r="C20" s="3">
        <v>17</v>
      </c>
      <c r="D20" s="3">
        <v>8</v>
      </c>
      <c r="E20" s="4">
        <v>8</v>
      </c>
      <c r="F20" s="4">
        <v>8</v>
      </c>
      <c r="G20" s="4">
        <v>9</v>
      </c>
      <c r="H20" s="4">
        <v>9</v>
      </c>
      <c r="I20" s="4">
        <v>7</v>
      </c>
      <c r="J20" s="4">
        <v>8</v>
      </c>
      <c r="K20" s="4">
        <v>9</v>
      </c>
      <c r="L20" s="4">
        <v>10</v>
      </c>
      <c r="M20" s="4">
        <v>7</v>
      </c>
      <c r="N20" s="4">
        <v>8</v>
      </c>
      <c r="O20" s="4">
        <v>6</v>
      </c>
      <c r="P20" s="4">
        <v>7</v>
      </c>
      <c r="Q20" s="4">
        <v>7</v>
      </c>
      <c r="R20" s="4">
        <v>8</v>
      </c>
      <c r="S20" s="4">
        <v>6</v>
      </c>
      <c r="T20" s="4">
        <v>7</v>
      </c>
      <c r="U20" s="4">
        <v>8</v>
      </c>
      <c r="V20" s="4">
        <v>7</v>
      </c>
      <c r="AY20" s="3" t="s">
        <v>18</v>
      </c>
      <c r="AZ20" s="3" t="s">
        <v>22</v>
      </c>
      <c r="BD20" s="3" t="str">
        <f t="shared" si="1"/>
        <v>Moderado</v>
      </c>
      <c r="BE20" s="3" t="str">
        <f t="shared" si="0"/>
        <v>Aumentó</v>
      </c>
      <c r="BF20" s="3" t="s">
        <v>159</v>
      </c>
      <c r="BG20" s="3" t="s">
        <v>160</v>
      </c>
    </row>
    <row r="21" spans="1:60" x14ac:dyDescent="0.3">
      <c r="A21" s="3" t="s">
        <v>1139</v>
      </c>
      <c r="B21" s="3" t="s">
        <v>26</v>
      </c>
      <c r="C21" s="3">
        <v>16</v>
      </c>
      <c r="D21" s="3">
        <v>8</v>
      </c>
      <c r="E21" s="4">
        <v>7</v>
      </c>
      <c r="F21" s="4">
        <v>6</v>
      </c>
      <c r="G21" s="4">
        <v>9</v>
      </c>
      <c r="H21" s="4">
        <v>9</v>
      </c>
      <c r="I21" s="4">
        <v>10</v>
      </c>
      <c r="J21" s="4">
        <v>10</v>
      </c>
      <c r="K21" s="4">
        <v>7</v>
      </c>
      <c r="L21" s="4">
        <v>6</v>
      </c>
      <c r="M21" s="4">
        <v>10</v>
      </c>
      <c r="N21" s="4">
        <v>10</v>
      </c>
      <c r="O21" s="4">
        <v>10</v>
      </c>
      <c r="P21" s="4">
        <v>10</v>
      </c>
      <c r="Q21" s="4">
        <v>10</v>
      </c>
      <c r="R21" s="4">
        <v>10</v>
      </c>
      <c r="S21" s="4">
        <v>10</v>
      </c>
      <c r="T21" s="4">
        <v>10</v>
      </c>
      <c r="U21" s="4">
        <v>10</v>
      </c>
      <c r="V21" s="4">
        <v>6</v>
      </c>
      <c r="AY21" s="3" t="s">
        <v>17</v>
      </c>
      <c r="BB21" s="3" t="s">
        <v>18</v>
      </c>
      <c r="BC21" s="3" t="s">
        <v>22</v>
      </c>
      <c r="BD21" s="3" t="str">
        <f t="shared" si="1"/>
        <v>Bajo</v>
      </c>
      <c r="BE21" s="3" t="str">
        <f t="shared" si="0"/>
        <v>Se mantuvo igual</v>
      </c>
      <c r="BF21" s="3" t="s">
        <v>48</v>
      </c>
      <c r="BG21" s="3" t="s">
        <v>161</v>
      </c>
      <c r="BH21" s="3" t="s">
        <v>162</v>
      </c>
    </row>
    <row r="22" spans="1:60" x14ac:dyDescent="0.3">
      <c r="A22" s="3" t="s">
        <v>1139</v>
      </c>
      <c r="B22" s="3" t="s">
        <v>16</v>
      </c>
      <c r="C22" s="3">
        <v>16</v>
      </c>
      <c r="D22" s="3">
        <v>10</v>
      </c>
      <c r="E22" s="4">
        <v>10</v>
      </c>
      <c r="F22" s="4">
        <v>10</v>
      </c>
      <c r="G22" s="4">
        <v>10</v>
      </c>
      <c r="H22" s="4">
        <v>10</v>
      </c>
      <c r="I22" s="4">
        <v>10</v>
      </c>
      <c r="J22" s="4">
        <v>10</v>
      </c>
      <c r="K22" s="4">
        <v>10</v>
      </c>
      <c r="L22" s="4">
        <v>10</v>
      </c>
      <c r="M22" s="4">
        <v>10</v>
      </c>
      <c r="N22" s="4">
        <v>10</v>
      </c>
      <c r="O22" s="4">
        <v>10</v>
      </c>
      <c r="P22" s="4">
        <v>10</v>
      </c>
      <c r="Q22" s="4">
        <v>10</v>
      </c>
      <c r="R22" s="4">
        <v>10</v>
      </c>
      <c r="S22" s="4">
        <v>10</v>
      </c>
      <c r="T22" s="4">
        <v>10</v>
      </c>
      <c r="U22" s="4">
        <v>10</v>
      </c>
      <c r="V22" s="4">
        <v>10</v>
      </c>
      <c r="AY22" s="3" t="s">
        <v>17</v>
      </c>
      <c r="BB22" s="3" t="s">
        <v>17</v>
      </c>
      <c r="BC22" s="3" t="s">
        <v>18</v>
      </c>
      <c r="BD22" s="3" t="str">
        <f t="shared" si="1"/>
        <v>Bajo</v>
      </c>
      <c r="BE22" s="3" t="str">
        <f t="shared" si="0"/>
        <v>Se mantuvo igual</v>
      </c>
      <c r="BF22" s="3" t="s">
        <v>62</v>
      </c>
      <c r="BG22" s="3" t="s">
        <v>28</v>
      </c>
      <c r="BH22" s="3" t="s">
        <v>163</v>
      </c>
    </row>
    <row r="23" spans="1:60" x14ac:dyDescent="0.3">
      <c r="A23" s="3" t="s">
        <v>1139</v>
      </c>
      <c r="B23" s="3" t="s">
        <v>26</v>
      </c>
      <c r="C23" s="3">
        <v>16</v>
      </c>
      <c r="D23" s="3">
        <v>10</v>
      </c>
      <c r="E23" s="4">
        <v>8</v>
      </c>
      <c r="F23" s="4">
        <v>9</v>
      </c>
      <c r="G23" s="4">
        <v>8</v>
      </c>
      <c r="H23" s="4">
        <v>8</v>
      </c>
      <c r="I23" s="4">
        <v>10</v>
      </c>
      <c r="J23" s="4">
        <v>10</v>
      </c>
      <c r="K23" s="4">
        <v>9</v>
      </c>
      <c r="L23" s="4">
        <v>9</v>
      </c>
      <c r="M23" s="4">
        <v>9</v>
      </c>
      <c r="N23" s="4">
        <v>10</v>
      </c>
      <c r="O23" s="4">
        <v>8</v>
      </c>
      <c r="P23" s="4">
        <v>9</v>
      </c>
      <c r="Q23" s="4">
        <v>10</v>
      </c>
      <c r="R23" s="4">
        <v>10</v>
      </c>
      <c r="S23" s="4">
        <v>8</v>
      </c>
      <c r="T23" s="4">
        <v>10</v>
      </c>
      <c r="U23" s="4">
        <v>9</v>
      </c>
      <c r="V23" s="4">
        <v>9</v>
      </c>
      <c r="AY23" s="3" t="s">
        <v>17</v>
      </c>
      <c r="BB23" s="3" t="s">
        <v>17</v>
      </c>
      <c r="BC23" s="3" t="s">
        <v>18</v>
      </c>
      <c r="BD23" s="3" t="str">
        <f t="shared" si="1"/>
        <v>Bajo</v>
      </c>
      <c r="BE23" s="3" t="str">
        <f t="shared" si="0"/>
        <v>Se mantuvo igual</v>
      </c>
      <c r="BF23" s="3" t="s">
        <v>164</v>
      </c>
      <c r="BG23" s="3" t="s">
        <v>165</v>
      </c>
      <c r="BH23" s="3" t="s">
        <v>166</v>
      </c>
    </row>
    <row r="24" spans="1:60" x14ac:dyDescent="0.3">
      <c r="A24" s="3" t="s">
        <v>1139</v>
      </c>
      <c r="B24" s="3" t="s">
        <v>16</v>
      </c>
      <c r="C24" s="3">
        <v>16</v>
      </c>
      <c r="D24" s="3">
        <v>9</v>
      </c>
      <c r="E24" s="4">
        <v>6</v>
      </c>
      <c r="F24" s="4">
        <v>5</v>
      </c>
      <c r="G24" s="4">
        <v>1</v>
      </c>
      <c r="H24" s="4">
        <v>1</v>
      </c>
      <c r="I24" s="4">
        <v>1</v>
      </c>
      <c r="J24" s="4">
        <v>1</v>
      </c>
      <c r="K24" s="4">
        <v>1</v>
      </c>
      <c r="L24" s="4">
        <v>1</v>
      </c>
      <c r="M24" s="4">
        <v>9</v>
      </c>
      <c r="N24" s="4">
        <v>10</v>
      </c>
      <c r="O24" s="4">
        <v>1</v>
      </c>
      <c r="P24" s="4">
        <v>1</v>
      </c>
      <c r="Q24" s="4">
        <v>7</v>
      </c>
      <c r="R24" s="4">
        <v>9</v>
      </c>
      <c r="S24" s="4">
        <v>1</v>
      </c>
      <c r="T24" s="4">
        <v>1</v>
      </c>
      <c r="U24" s="4">
        <v>8</v>
      </c>
      <c r="V24" s="4">
        <v>9</v>
      </c>
      <c r="AY24" s="3" t="s">
        <v>18</v>
      </c>
      <c r="AZ24" s="3" t="s">
        <v>18</v>
      </c>
      <c r="BD24" s="3" t="str">
        <f t="shared" si="1"/>
        <v>Moderado</v>
      </c>
      <c r="BE24" s="3" t="str">
        <f t="shared" si="0"/>
        <v>Se mantuvo igual</v>
      </c>
      <c r="BF24" s="3" t="s">
        <v>167</v>
      </c>
      <c r="BG24" s="3" t="s">
        <v>168</v>
      </c>
      <c r="BH24" s="3" t="s">
        <v>169</v>
      </c>
    </row>
    <row r="25" spans="1:60" x14ac:dyDescent="0.3">
      <c r="A25" s="3" t="s">
        <v>1139</v>
      </c>
      <c r="B25" s="3" t="s">
        <v>26</v>
      </c>
      <c r="C25" s="3">
        <v>17</v>
      </c>
      <c r="D25" s="3">
        <v>10</v>
      </c>
      <c r="E25" s="4">
        <v>9</v>
      </c>
      <c r="F25" s="4">
        <v>9</v>
      </c>
      <c r="G25" s="4">
        <v>9</v>
      </c>
      <c r="H25" s="4">
        <v>10</v>
      </c>
      <c r="I25" s="4">
        <v>10</v>
      </c>
      <c r="J25" s="4">
        <v>10</v>
      </c>
      <c r="K25" s="4">
        <v>10</v>
      </c>
      <c r="L25" s="4">
        <v>10</v>
      </c>
      <c r="M25" s="4">
        <v>10</v>
      </c>
      <c r="N25" s="4">
        <v>10</v>
      </c>
      <c r="O25" s="4">
        <v>10</v>
      </c>
      <c r="P25" s="4">
        <v>10</v>
      </c>
      <c r="Q25" s="4">
        <v>9</v>
      </c>
      <c r="R25" s="4">
        <v>10</v>
      </c>
      <c r="S25" s="4">
        <v>7</v>
      </c>
      <c r="T25" s="4">
        <v>9</v>
      </c>
      <c r="U25" s="4">
        <v>7</v>
      </c>
      <c r="V25" s="4">
        <v>7</v>
      </c>
      <c r="AY25" s="3" t="s">
        <v>22</v>
      </c>
      <c r="AZ25" s="3" t="s">
        <v>22</v>
      </c>
      <c r="BD25" s="3" t="str">
        <f t="shared" si="1"/>
        <v>Alto</v>
      </c>
      <c r="BE25" s="3" t="str">
        <f t="shared" si="0"/>
        <v>Aumentó</v>
      </c>
      <c r="BF25" s="3" t="s">
        <v>170</v>
      </c>
      <c r="BG25" s="3" t="s">
        <v>171</v>
      </c>
    </row>
    <row r="26" spans="1:60" x14ac:dyDescent="0.3">
      <c r="A26" s="3" t="s">
        <v>1139</v>
      </c>
      <c r="B26" s="3" t="s">
        <v>26</v>
      </c>
      <c r="C26" s="3">
        <v>17</v>
      </c>
      <c r="D26" s="3">
        <v>9</v>
      </c>
      <c r="E26" s="4">
        <v>7</v>
      </c>
      <c r="F26" s="4">
        <v>7</v>
      </c>
      <c r="G26" s="4">
        <v>7</v>
      </c>
      <c r="H26" s="4">
        <v>7</v>
      </c>
      <c r="I26" s="4">
        <v>5</v>
      </c>
      <c r="J26" s="4">
        <v>5</v>
      </c>
      <c r="K26" s="4">
        <v>7</v>
      </c>
      <c r="L26" s="4">
        <v>7</v>
      </c>
      <c r="M26" s="4">
        <v>7</v>
      </c>
      <c r="N26" s="4">
        <v>7</v>
      </c>
      <c r="O26" s="4">
        <v>7</v>
      </c>
      <c r="P26" s="4">
        <v>7</v>
      </c>
      <c r="Q26" s="4">
        <v>7</v>
      </c>
      <c r="R26" s="4">
        <v>7</v>
      </c>
      <c r="S26" s="4">
        <v>7</v>
      </c>
      <c r="T26" s="4">
        <v>7</v>
      </c>
      <c r="U26" s="4">
        <v>7</v>
      </c>
      <c r="V26" s="4">
        <v>7</v>
      </c>
      <c r="AY26" s="3" t="s">
        <v>17</v>
      </c>
      <c r="BB26" s="3" t="s">
        <v>18</v>
      </c>
      <c r="BC26" s="3" t="s">
        <v>22</v>
      </c>
      <c r="BD26" s="3" t="str">
        <f t="shared" si="1"/>
        <v>Bajo</v>
      </c>
      <c r="BE26" s="3" t="str">
        <f t="shared" si="0"/>
        <v>Se mantuvo igual</v>
      </c>
      <c r="BF26" s="3" t="s">
        <v>172</v>
      </c>
      <c r="BG26" s="3" t="s">
        <v>173</v>
      </c>
      <c r="BH26" s="3" t="s">
        <v>174</v>
      </c>
    </row>
    <row r="27" spans="1:60" x14ac:dyDescent="0.3">
      <c r="A27" s="3" t="s">
        <v>1139</v>
      </c>
      <c r="B27" s="3" t="s">
        <v>26</v>
      </c>
      <c r="C27" s="3">
        <v>17</v>
      </c>
      <c r="D27" s="3">
        <v>6</v>
      </c>
      <c r="E27" s="4">
        <v>8</v>
      </c>
      <c r="F27" s="4">
        <v>7</v>
      </c>
      <c r="G27" s="4">
        <v>10</v>
      </c>
      <c r="H27" s="4">
        <v>10</v>
      </c>
      <c r="I27" s="4">
        <v>10</v>
      </c>
      <c r="J27" s="4">
        <v>10</v>
      </c>
      <c r="K27" s="4">
        <v>10</v>
      </c>
      <c r="L27" s="4">
        <v>9</v>
      </c>
      <c r="M27" s="4">
        <v>7</v>
      </c>
      <c r="N27" s="4">
        <v>6</v>
      </c>
      <c r="O27" s="4">
        <v>9</v>
      </c>
      <c r="P27" s="4">
        <v>7</v>
      </c>
      <c r="Q27" s="4">
        <v>10</v>
      </c>
      <c r="R27" s="4">
        <v>10</v>
      </c>
      <c r="S27" s="4">
        <v>5</v>
      </c>
      <c r="T27" s="4">
        <v>6</v>
      </c>
      <c r="U27" s="4">
        <v>10</v>
      </c>
      <c r="V27" s="4">
        <v>9</v>
      </c>
      <c r="AY27" s="3" t="s">
        <v>17</v>
      </c>
      <c r="BB27" s="3" t="s">
        <v>22</v>
      </c>
      <c r="BC27" s="3" t="s">
        <v>22</v>
      </c>
      <c r="BD27" s="3" t="str">
        <f t="shared" si="1"/>
        <v>Bajo</v>
      </c>
      <c r="BE27" s="3" t="str">
        <f t="shared" si="0"/>
        <v>Se mantuvo igual</v>
      </c>
      <c r="BF27" s="3" t="s">
        <v>175</v>
      </c>
      <c r="BG27" s="3" t="s">
        <v>176</v>
      </c>
      <c r="BH27" s="3" t="s">
        <v>177</v>
      </c>
    </row>
    <row r="28" spans="1:60" x14ac:dyDescent="0.3">
      <c r="A28" s="3" t="s">
        <v>1139</v>
      </c>
      <c r="B28" s="3" t="s">
        <v>26</v>
      </c>
      <c r="C28" s="3">
        <v>16</v>
      </c>
      <c r="D28" s="3">
        <v>8</v>
      </c>
      <c r="E28" s="4">
        <v>8</v>
      </c>
      <c r="F28" s="4">
        <v>8</v>
      </c>
      <c r="G28" s="4">
        <v>8</v>
      </c>
      <c r="H28" s="4">
        <v>8</v>
      </c>
      <c r="I28" s="4">
        <v>9</v>
      </c>
      <c r="J28" s="4">
        <v>9</v>
      </c>
      <c r="K28" s="4">
        <v>8</v>
      </c>
      <c r="L28" s="4">
        <v>8</v>
      </c>
      <c r="M28" s="4">
        <v>9</v>
      </c>
      <c r="N28" s="4">
        <v>8</v>
      </c>
      <c r="O28" s="4">
        <v>9</v>
      </c>
      <c r="P28" s="4">
        <v>9</v>
      </c>
      <c r="Q28" s="4">
        <v>9</v>
      </c>
      <c r="R28" s="4">
        <v>8</v>
      </c>
      <c r="S28" s="4">
        <v>9</v>
      </c>
      <c r="T28" s="4">
        <v>9</v>
      </c>
      <c r="U28" s="4">
        <v>8</v>
      </c>
      <c r="V28" s="4">
        <v>8</v>
      </c>
      <c r="AY28" s="3" t="s">
        <v>17</v>
      </c>
      <c r="BB28" s="3" t="s">
        <v>18</v>
      </c>
      <c r="BC28" s="3" t="s">
        <v>22</v>
      </c>
      <c r="BD28" s="3" t="str">
        <f t="shared" si="1"/>
        <v>Bajo</v>
      </c>
      <c r="BE28" s="3" t="str">
        <f t="shared" si="0"/>
        <v>Se mantuvo igual</v>
      </c>
      <c r="BF28" s="3" t="s">
        <v>178</v>
      </c>
      <c r="BG28" s="3" t="s">
        <v>179</v>
      </c>
      <c r="BH28" s="3" t="s">
        <v>179</v>
      </c>
    </row>
    <row r="29" spans="1:60" x14ac:dyDescent="0.3">
      <c r="A29" s="3" t="s">
        <v>1139</v>
      </c>
      <c r="B29" s="3" t="s">
        <v>16</v>
      </c>
      <c r="C29" s="3">
        <v>16</v>
      </c>
      <c r="D29" s="3">
        <v>8</v>
      </c>
      <c r="G29" s="4">
        <v>10</v>
      </c>
      <c r="H29" s="4">
        <v>9</v>
      </c>
      <c r="I29" s="4">
        <v>10</v>
      </c>
      <c r="J29" s="4">
        <v>10</v>
      </c>
      <c r="K29" s="4">
        <v>10</v>
      </c>
      <c r="L29" s="4">
        <v>10</v>
      </c>
      <c r="M29" s="4">
        <v>10</v>
      </c>
      <c r="N29" s="4">
        <v>10</v>
      </c>
      <c r="AY29" s="3" t="s">
        <v>17</v>
      </c>
      <c r="BB29" s="3" t="s">
        <v>17</v>
      </c>
      <c r="BC29" s="3" t="s">
        <v>22</v>
      </c>
      <c r="BD29" s="3" t="str">
        <f t="shared" si="1"/>
        <v>Bajo</v>
      </c>
      <c r="BE29" s="3" t="str">
        <f t="shared" si="0"/>
        <v>Se mantuvo igual</v>
      </c>
      <c r="BF29" s="3" t="s">
        <v>180</v>
      </c>
      <c r="BG29" s="3" t="s">
        <v>181</v>
      </c>
      <c r="BH29" s="3" t="s">
        <v>182</v>
      </c>
    </row>
    <row r="30" spans="1:60" x14ac:dyDescent="0.3">
      <c r="A30" s="3" t="s">
        <v>1139</v>
      </c>
      <c r="B30" s="3" t="s">
        <v>16</v>
      </c>
      <c r="C30" s="3">
        <v>16</v>
      </c>
      <c r="D30" s="3">
        <v>7</v>
      </c>
      <c r="I30" s="4">
        <v>5</v>
      </c>
      <c r="J30" s="4">
        <v>2</v>
      </c>
      <c r="K30" s="4">
        <v>7</v>
      </c>
      <c r="L30" s="4">
        <v>10</v>
      </c>
      <c r="M30" s="4">
        <v>8</v>
      </c>
      <c r="N30" s="4">
        <v>8</v>
      </c>
      <c r="O30" s="4">
        <v>2</v>
      </c>
      <c r="P30" s="4">
        <v>3</v>
      </c>
      <c r="AY30" s="3" t="s">
        <v>22</v>
      </c>
      <c r="AZ30" s="3" t="s">
        <v>17</v>
      </c>
      <c r="BD30" s="3" t="str">
        <f t="shared" si="1"/>
        <v>Alto</v>
      </c>
      <c r="BE30" s="3" t="s">
        <v>623</v>
      </c>
      <c r="BF30" s="3" t="s">
        <v>183</v>
      </c>
      <c r="BG30" s="3" t="s">
        <v>184</v>
      </c>
      <c r="BH30" s="3" t="s">
        <v>185</v>
      </c>
    </row>
    <row r="31" spans="1:60" x14ac:dyDescent="0.3">
      <c r="A31" s="3" t="s">
        <v>1139</v>
      </c>
      <c r="B31" s="3" t="s">
        <v>26</v>
      </c>
      <c r="C31" s="3">
        <v>17</v>
      </c>
      <c r="D31" s="3">
        <v>8</v>
      </c>
      <c r="E31" s="4">
        <v>9</v>
      </c>
      <c r="F31" s="4">
        <v>8</v>
      </c>
      <c r="M31" s="4">
        <v>7</v>
      </c>
      <c r="N31" s="4">
        <v>7</v>
      </c>
      <c r="Q31" s="4">
        <v>8</v>
      </c>
      <c r="R31" s="4">
        <v>9</v>
      </c>
      <c r="S31" s="4">
        <v>6</v>
      </c>
      <c r="T31" s="4">
        <v>7</v>
      </c>
      <c r="AY31" s="3" t="s">
        <v>22</v>
      </c>
      <c r="AZ31" s="3" t="s">
        <v>17</v>
      </c>
      <c r="BA31" s="3" t="s">
        <v>186</v>
      </c>
      <c r="BD31" s="3" t="str">
        <f t="shared" si="1"/>
        <v>Alto</v>
      </c>
      <c r="BE31" s="3" t="s">
        <v>623</v>
      </c>
      <c r="BF31" s="3" t="s">
        <v>187</v>
      </c>
      <c r="BG31" s="3" t="s">
        <v>188</v>
      </c>
    </row>
    <row r="32" spans="1:60" x14ac:dyDescent="0.3">
      <c r="A32" s="3" t="s">
        <v>1139</v>
      </c>
      <c r="B32" s="3" t="s">
        <v>26</v>
      </c>
      <c r="C32" s="3">
        <v>16</v>
      </c>
      <c r="D32" s="3">
        <v>8</v>
      </c>
      <c r="E32" s="4">
        <v>7</v>
      </c>
      <c r="F32" s="4">
        <v>9</v>
      </c>
      <c r="M32" s="4">
        <v>6</v>
      </c>
      <c r="N32" s="4">
        <v>7</v>
      </c>
      <c r="Q32" s="4">
        <v>8</v>
      </c>
      <c r="R32" s="4">
        <v>9</v>
      </c>
      <c r="S32" s="4">
        <v>6</v>
      </c>
      <c r="T32" s="4">
        <v>7</v>
      </c>
      <c r="AY32" s="3" t="s">
        <v>18</v>
      </c>
      <c r="AZ32" s="3" t="s">
        <v>17</v>
      </c>
      <c r="BA32" s="3" t="s">
        <v>189</v>
      </c>
      <c r="BD32" s="3" t="str">
        <f t="shared" si="1"/>
        <v>Moderado</v>
      </c>
      <c r="BE32" s="3" t="str">
        <f t="shared" si="0"/>
        <v>Se mantuvo igual</v>
      </c>
      <c r="BF32" s="3" t="s">
        <v>190</v>
      </c>
      <c r="BG32" s="3" t="s">
        <v>188</v>
      </c>
    </row>
    <row r="33" spans="1:60" x14ac:dyDescent="0.3">
      <c r="A33" s="3" t="s">
        <v>1139</v>
      </c>
      <c r="B33" s="3" t="s">
        <v>191</v>
      </c>
      <c r="C33" s="3">
        <v>16</v>
      </c>
      <c r="D33" s="3">
        <v>9</v>
      </c>
      <c r="E33" s="4">
        <v>9</v>
      </c>
      <c r="F33" s="4">
        <v>10</v>
      </c>
      <c r="M33" s="4">
        <v>9</v>
      </c>
      <c r="N33" s="4">
        <v>9</v>
      </c>
      <c r="AY33" s="3" t="s">
        <v>22</v>
      </c>
      <c r="AZ33" s="3" t="s">
        <v>18</v>
      </c>
      <c r="BA33" s="3" t="s">
        <v>192</v>
      </c>
      <c r="BD33" s="3" t="str">
        <f t="shared" si="1"/>
        <v>Alto</v>
      </c>
      <c r="BE33" s="3" t="s">
        <v>623</v>
      </c>
      <c r="BF33" s="3" t="s">
        <v>193</v>
      </c>
      <c r="BG33" s="3" t="s">
        <v>194</v>
      </c>
      <c r="BH33" s="3" t="s">
        <v>195</v>
      </c>
    </row>
    <row r="34" spans="1:60" x14ac:dyDescent="0.3">
      <c r="A34" s="3" t="s">
        <v>1139</v>
      </c>
      <c r="B34" s="3" t="s">
        <v>26</v>
      </c>
      <c r="C34" s="3">
        <v>16</v>
      </c>
      <c r="D34" s="3">
        <v>8</v>
      </c>
      <c r="E34" s="4">
        <v>7</v>
      </c>
      <c r="F34" s="4">
        <v>9</v>
      </c>
      <c r="G34" s="4">
        <v>7</v>
      </c>
      <c r="H34" s="4">
        <v>9</v>
      </c>
      <c r="I34" s="4">
        <v>7</v>
      </c>
      <c r="J34" s="4">
        <v>9</v>
      </c>
      <c r="K34" s="4">
        <v>7</v>
      </c>
      <c r="L34" s="4">
        <v>9</v>
      </c>
      <c r="M34" s="4">
        <v>7</v>
      </c>
      <c r="N34" s="4">
        <v>9</v>
      </c>
      <c r="O34" s="4">
        <v>7</v>
      </c>
      <c r="P34" s="4">
        <v>9</v>
      </c>
      <c r="Q34" s="4">
        <v>7</v>
      </c>
      <c r="R34" s="4">
        <v>9</v>
      </c>
      <c r="S34" s="4">
        <v>7</v>
      </c>
      <c r="T34" s="4">
        <v>9</v>
      </c>
      <c r="U34" s="4">
        <v>7</v>
      </c>
      <c r="V34" s="4">
        <v>9</v>
      </c>
      <c r="AY34" s="3" t="s">
        <v>18</v>
      </c>
      <c r="AZ34" s="3" t="s">
        <v>18</v>
      </c>
      <c r="BD34" s="3" t="str">
        <f t="shared" si="1"/>
        <v>Moderado</v>
      </c>
      <c r="BE34" s="3" t="str">
        <f t="shared" si="0"/>
        <v>Se mantuvo igual</v>
      </c>
      <c r="BF34" s="3" t="s">
        <v>196</v>
      </c>
      <c r="BG34" s="3" t="s">
        <v>197</v>
      </c>
      <c r="BH34" s="3" t="s">
        <v>198</v>
      </c>
    </row>
    <row r="35" spans="1:60" x14ac:dyDescent="0.3">
      <c r="A35" s="3" t="s">
        <v>1139</v>
      </c>
      <c r="B35" s="3" t="s">
        <v>16</v>
      </c>
      <c r="C35" s="3">
        <v>16</v>
      </c>
      <c r="D35" s="3">
        <v>10</v>
      </c>
      <c r="E35" s="4">
        <v>10</v>
      </c>
      <c r="F35" s="4">
        <v>10</v>
      </c>
      <c r="G35" s="4">
        <v>10</v>
      </c>
      <c r="H35" s="4">
        <v>10</v>
      </c>
      <c r="I35" s="4">
        <v>10</v>
      </c>
      <c r="J35" s="4">
        <v>10</v>
      </c>
      <c r="K35" s="4">
        <v>9</v>
      </c>
      <c r="L35" s="4">
        <v>9</v>
      </c>
      <c r="M35" s="4">
        <v>10</v>
      </c>
      <c r="N35" s="4">
        <v>10</v>
      </c>
      <c r="O35" s="4">
        <v>9</v>
      </c>
      <c r="P35" s="4">
        <v>9</v>
      </c>
      <c r="Q35" s="4">
        <v>9</v>
      </c>
      <c r="R35" s="4">
        <v>9</v>
      </c>
      <c r="S35" s="4">
        <v>9</v>
      </c>
      <c r="T35" s="4">
        <v>9</v>
      </c>
      <c r="U35" s="4">
        <v>9</v>
      </c>
      <c r="V35" s="4">
        <v>9</v>
      </c>
      <c r="AY35" s="3" t="s">
        <v>17</v>
      </c>
      <c r="BB35" s="3" t="s">
        <v>17</v>
      </c>
      <c r="BC35" s="3" t="s">
        <v>22</v>
      </c>
      <c r="BD35" s="3" t="str">
        <f t="shared" si="1"/>
        <v>Bajo</v>
      </c>
      <c r="BE35" s="3" t="str">
        <f t="shared" si="0"/>
        <v>Se mantuvo igual</v>
      </c>
      <c r="BF35" s="3" t="s">
        <v>199</v>
      </c>
      <c r="BG35" s="3" t="s">
        <v>200</v>
      </c>
    </row>
    <row r="36" spans="1:60" x14ac:dyDescent="0.3">
      <c r="A36" s="3" t="s">
        <v>1139</v>
      </c>
      <c r="B36" s="3" t="s">
        <v>26</v>
      </c>
      <c r="C36" s="3">
        <v>16</v>
      </c>
      <c r="D36" s="3">
        <v>8</v>
      </c>
      <c r="G36" s="4">
        <v>5</v>
      </c>
      <c r="H36" s="4">
        <v>8</v>
      </c>
      <c r="K36" s="4">
        <v>5</v>
      </c>
      <c r="L36" s="4">
        <v>8</v>
      </c>
      <c r="M36" s="4">
        <v>10</v>
      </c>
      <c r="N36" s="4">
        <v>10</v>
      </c>
      <c r="Q36" s="4">
        <v>5</v>
      </c>
      <c r="R36" s="4">
        <v>7</v>
      </c>
      <c r="S36" s="4">
        <v>5</v>
      </c>
      <c r="T36" s="4">
        <v>5</v>
      </c>
      <c r="AY36" s="3" t="s">
        <v>18</v>
      </c>
      <c r="AZ36" s="3" t="s">
        <v>18</v>
      </c>
      <c r="BA36" s="3" t="s">
        <v>201</v>
      </c>
      <c r="BD36" s="3" t="str">
        <f t="shared" si="1"/>
        <v>Moderado</v>
      </c>
      <c r="BE36" s="3" t="str">
        <f t="shared" si="0"/>
        <v>Se mantuvo igual</v>
      </c>
      <c r="BF36" s="3" t="s">
        <v>202</v>
      </c>
      <c r="BG36" s="3" t="s">
        <v>203</v>
      </c>
      <c r="BH36" s="3" t="s">
        <v>204</v>
      </c>
    </row>
    <row r="37" spans="1:60" x14ac:dyDescent="0.3">
      <c r="A37" s="3" t="s">
        <v>1139</v>
      </c>
      <c r="B37" s="3" t="s">
        <v>16</v>
      </c>
      <c r="C37" s="3">
        <v>16</v>
      </c>
      <c r="D37" s="3">
        <v>10</v>
      </c>
      <c r="E37" s="4">
        <v>7</v>
      </c>
      <c r="F37" s="4">
        <v>9</v>
      </c>
      <c r="K37" s="4">
        <v>10</v>
      </c>
      <c r="L37" s="4">
        <v>10</v>
      </c>
      <c r="M37" s="4">
        <v>1</v>
      </c>
      <c r="N37" s="4">
        <v>2</v>
      </c>
      <c r="O37" s="4">
        <v>3</v>
      </c>
      <c r="P37" s="4">
        <v>5</v>
      </c>
      <c r="AY37" s="3" t="s">
        <v>17</v>
      </c>
      <c r="BB37" s="3" t="s">
        <v>17</v>
      </c>
      <c r="BC37" s="3" t="s">
        <v>22</v>
      </c>
      <c r="BD37" s="3" t="str">
        <f t="shared" si="1"/>
        <v>Bajo</v>
      </c>
      <c r="BE37" s="3" t="str">
        <f t="shared" si="0"/>
        <v>Se mantuvo igual</v>
      </c>
      <c r="BF37" s="3" t="s">
        <v>205</v>
      </c>
      <c r="BG37" s="3" t="s">
        <v>206</v>
      </c>
      <c r="BH37" s="3" t="s">
        <v>24</v>
      </c>
    </row>
    <row r="38" spans="1:60" x14ac:dyDescent="0.3">
      <c r="A38" s="3" t="s">
        <v>1139</v>
      </c>
      <c r="B38" s="3" t="s">
        <v>26</v>
      </c>
      <c r="C38" s="3">
        <v>16</v>
      </c>
      <c r="D38" s="3">
        <v>10</v>
      </c>
      <c r="E38" s="4">
        <v>10</v>
      </c>
      <c r="F38" s="4">
        <v>8</v>
      </c>
      <c r="G38" s="4">
        <v>10</v>
      </c>
      <c r="H38" s="4">
        <v>8</v>
      </c>
      <c r="I38" s="4">
        <v>10</v>
      </c>
      <c r="J38" s="4">
        <v>8</v>
      </c>
      <c r="K38" s="4">
        <v>10</v>
      </c>
      <c r="L38" s="4">
        <v>10</v>
      </c>
      <c r="M38" s="4">
        <v>10</v>
      </c>
      <c r="N38" s="4">
        <v>8</v>
      </c>
      <c r="O38" s="4">
        <v>10</v>
      </c>
      <c r="P38" s="4">
        <v>8</v>
      </c>
      <c r="Q38" s="4">
        <v>10</v>
      </c>
      <c r="R38" s="4">
        <v>8</v>
      </c>
      <c r="S38" s="4">
        <v>10</v>
      </c>
      <c r="T38" s="4">
        <v>8</v>
      </c>
      <c r="U38" s="4">
        <v>10</v>
      </c>
      <c r="V38" s="4">
        <v>8</v>
      </c>
      <c r="AY38" s="3" t="s">
        <v>18</v>
      </c>
      <c r="AZ38" s="3" t="s">
        <v>18</v>
      </c>
      <c r="BD38" s="3" t="str">
        <f t="shared" si="1"/>
        <v>Moderado</v>
      </c>
      <c r="BE38" s="3" t="str">
        <f t="shared" si="0"/>
        <v>Se mantuvo igual</v>
      </c>
      <c r="BF38" s="3" t="s">
        <v>207</v>
      </c>
      <c r="BG38" s="3" t="s">
        <v>137</v>
      </c>
    </row>
    <row r="39" spans="1:60" x14ac:dyDescent="0.3">
      <c r="A39" s="3" t="s">
        <v>1139</v>
      </c>
      <c r="B39" s="3" t="s">
        <v>26</v>
      </c>
      <c r="C39" s="3">
        <v>17</v>
      </c>
      <c r="D39" s="3">
        <v>7</v>
      </c>
      <c r="E39" s="4">
        <v>8</v>
      </c>
      <c r="F39" s="4">
        <v>9</v>
      </c>
      <c r="G39" s="4">
        <v>8</v>
      </c>
      <c r="H39" s="4">
        <v>9</v>
      </c>
      <c r="I39" s="4">
        <v>8</v>
      </c>
      <c r="J39" s="4">
        <v>9</v>
      </c>
      <c r="K39" s="4">
        <v>9</v>
      </c>
      <c r="L39" s="4">
        <v>8</v>
      </c>
      <c r="M39" s="4">
        <v>6</v>
      </c>
      <c r="N39" s="4">
        <v>5</v>
      </c>
      <c r="W39" s="4">
        <v>8</v>
      </c>
      <c r="X39" s="4">
        <v>9</v>
      </c>
      <c r="AY39" s="3" t="s">
        <v>18</v>
      </c>
      <c r="AZ39" s="3" t="s">
        <v>18</v>
      </c>
      <c r="BD39" s="3" t="str">
        <f t="shared" si="1"/>
        <v>Moderado</v>
      </c>
      <c r="BE39" s="3" t="str">
        <f t="shared" si="0"/>
        <v>Se mantuvo igual</v>
      </c>
      <c r="BF39" s="3" t="s">
        <v>208</v>
      </c>
      <c r="BG39" s="3" t="s">
        <v>24</v>
      </c>
    </row>
    <row r="40" spans="1:60" x14ac:dyDescent="0.3">
      <c r="A40" s="3" t="s">
        <v>1139</v>
      </c>
      <c r="B40" s="3" t="s">
        <v>16</v>
      </c>
      <c r="C40" s="3">
        <v>15</v>
      </c>
      <c r="D40" s="3">
        <v>10</v>
      </c>
      <c r="E40" s="4">
        <v>10</v>
      </c>
      <c r="F40" s="4">
        <v>10</v>
      </c>
      <c r="G40" s="4">
        <v>10</v>
      </c>
      <c r="H40" s="4">
        <v>10</v>
      </c>
      <c r="I40" s="4">
        <v>10</v>
      </c>
      <c r="J40" s="4">
        <v>10</v>
      </c>
      <c r="K40" s="4">
        <v>10</v>
      </c>
      <c r="L40" s="4">
        <v>10</v>
      </c>
      <c r="M40" s="4">
        <v>10</v>
      </c>
      <c r="N40" s="4">
        <v>10</v>
      </c>
      <c r="W40" s="4">
        <v>10</v>
      </c>
      <c r="X40" s="4">
        <v>10</v>
      </c>
      <c r="AY40" s="3" t="s">
        <v>18</v>
      </c>
      <c r="AZ40" s="3" t="s">
        <v>18</v>
      </c>
      <c r="BA40" s="3" t="s">
        <v>209</v>
      </c>
      <c r="BD40" s="3" t="str">
        <f t="shared" si="1"/>
        <v>Moderado</v>
      </c>
      <c r="BE40" s="3" t="str">
        <f t="shared" si="0"/>
        <v>Se mantuvo igual</v>
      </c>
      <c r="BF40" s="3" t="s">
        <v>210</v>
      </c>
      <c r="BG40" s="3" t="s">
        <v>211</v>
      </c>
      <c r="BH40" s="3" t="s">
        <v>212</v>
      </c>
    </row>
    <row r="41" spans="1:60" x14ac:dyDescent="0.3">
      <c r="A41" s="3" t="s">
        <v>1139</v>
      </c>
      <c r="B41" s="3" t="s">
        <v>26</v>
      </c>
      <c r="C41" s="3">
        <v>15</v>
      </c>
      <c r="D41" s="3">
        <v>9</v>
      </c>
      <c r="E41" s="4">
        <v>5</v>
      </c>
      <c r="F41" s="4">
        <v>5</v>
      </c>
      <c r="G41" s="4">
        <v>5</v>
      </c>
      <c r="H41" s="4">
        <v>5</v>
      </c>
      <c r="I41" s="4">
        <v>8</v>
      </c>
      <c r="J41" s="4">
        <v>8</v>
      </c>
      <c r="K41" s="4">
        <v>9</v>
      </c>
      <c r="L41" s="4">
        <v>9</v>
      </c>
      <c r="M41" s="4">
        <v>7</v>
      </c>
      <c r="N41" s="4">
        <v>7</v>
      </c>
      <c r="W41" s="4">
        <v>5</v>
      </c>
      <c r="X41" s="4">
        <v>5</v>
      </c>
      <c r="AY41" s="3" t="s">
        <v>18</v>
      </c>
      <c r="AZ41" s="3" t="s">
        <v>18</v>
      </c>
      <c r="BD41" s="3" t="str">
        <f t="shared" si="1"/>
        <v>Moderado</v>
      </c>
      <c r="BE41" s="3" t="str">
        <f t="shared" si="0"/>
        <v>Se mantuvo igual</v>
      </c>
      <c r="BF41" s="3" t="s">
        <v>213</v>
      </c>
      <c r="BG41" s="3" t="s">
        <v>214</v>
      </c>
      <c r="BH41" s="3" t="s">
        <v>215</v>
      </c>
    </row>
    <row r="42" spans="1:60" x14ac:dyDescent="0.3">
      <c r="A42" s="3" t="s">
        <v>1139</v>
      </c>
      <c r="B42" s="3" t="s">
        <v>26</v>
      </c>
      <c r="C42" s="3">
        <v>16</v>
      </c>
      <c r="D42" s="3">
        <v>10</v>
      </c>
      <c r="E42" s="4">
        <v>8</v>
      </c>
      <c r="F42" s="4">
        <v>9</v>
      </c>
      <c r="G42" s="4">
        <v>8</v>
      </c>
      <c r="H42" s="4">
        <v>9</v>
      </c>
      <c r="I42" s="4">
        <v>10</v>
      </c>
      <c r="J42" s="4">
        <v>10</v>
      </c>
      <c r="K42" s="4">
        <v>10</v>
      </c>
      <c r="L42" s="4">
        <v>6</v>
      </c>
      <c r="M42" s="4">
        <v>10</v>
      </c>
      <c r="N42" s="4">
        <v>7</v>
      </c>
      <c r="W42" s="4">
        <v>8</v>
      </c>
      <c r="X42" s="4">
        <v>9</v>
      </c>
      <c r="AY42" s="3" t="s">
        <v>17</v>
      </c>
      <c r="BB42" s="3" t="s">
        <v>18</v>
      </c>
      <c r="BC42" s="3" t="s">
        <v>22</v>
      </c>
      <c r="BD42" s="3" t="str">
        <f t="shared" si="1"/>
        <v>Bajo</v>
      </c>
      <c r="BE42" s="3" t="str">
        <f t="shared" si="0"/>
        <v>Se mantuvo igual</v>
      </c>
      <c r="BF42" s="3" t="s">
        <v>216</v>
      </c>
      <c r="BG42" s="3" t="s">
        <v>217</v>
      </c>
      <c r="BH42" s="3" t="s">
        <v>218</v>
      </c>
    </row>
    <row r="43" spans="1:60" x14ac:dyDescent="0.3">
      <c r="A43" s="3" t="s">
        <v>1139</v>
      </c>
      <c r="B43" s="3" t="s">
        <v>26</v>
      </c>
      <c r="C43" s="3">
        <v>15</v>
      </c>
      <c r="D43" s="3">
        <v>9</v>
      </c>
      <c r="E43" s="4">
        <v>9</v>
      </c>
      <c r="F43" s="4">
        <v>7</v>
      </c>
      <c r="G43" s="4">
        <v>9</v>
      </c>
      <c r="H43" s="4">
        <v>7</v>
      </c>
      <c r="I43" s="4">
        <v>9</v>
      </c>
      <c r="J43" s="4">
        <v>10</v>
      </c>
      <c r="K43" s="4">
        <v>9</v>
      </c>
      <c r="L43" s="4">
        <v>9</v>
      </c>
      <c r="M43" s="4">
        <v>8</v>
      </c>
      <c r="N43" s="4">
        <v>8</v>
      </c>
      <c r="W43" s="4">
        <v>9</v>
      </c>
      <c r="X43" s="4">
        <v>7</v>
      </c>
      <c r="AY43" s="3" t="s">
        <v>18</v>
      </c>
      <c r="AZ43" s="3" t="s">
        <v>22</v>
      </c>
      <c r="BA43" s="3" t="s">
        <v>219</v>
      </c>
      <c r="BD43" s="3" t="str">
        <f t="shared" si="1"/>
        <v>Moderado</v>
      </c>
      <c r="BE43" s="3" t="str">
        <f t="shared" si="0"/>
        <v>Aumentó</v>
      </c>
      <c r="BF43" s="3" t="s">
        <v>100</v>
      </c>
      <c r="BG43" s="3" t="s">
        <v>28</v>
      </c>
      <c r="BH43" s="3" t="s">
        <v>220</v>
      </c>
    </row>
    <row r="44" spans="1:60" x14ac:dyDescent="0.3">
      <c r="A44" s="3" t="s">
        <v>1139</v>
      </c>
      <c r="B44" s="3" t="s">
        <v>26</v>
      </c>
      <c r="C44" s="3">
        <v>17</v>
      </c>
      <c r="D44" s="3">
        <v>10</v>
      </c>
      <c r="E44" s="4">
        <v>10</v>
      </c>
      <c r="F44" s="4">
        <v>10</v>
      </c>
      <c r="G44" s="4">
        <v>10</v>
      </c>
      <c r="H44" s="4">
        <v>10</v>
      </c>
      <c r="I44" s="4">
        <v>10</v>
      </c>
      <c r="J44" s="4">
        <v>10</v>
      </c>
      <c r="U44" s="4">
        <v>10</v>
      </c>
      <c r="V44" s="4">
        <v>10</v>
      </c>
      <c r="W44" s="4">
        <v>10</v>
      </c>
      <c r="X44" s="4">
        <v>10</v>
      </c>
      <c r="Z44" s="4">
        <v>10</v>
      </c>
      <c r="AA44" s="4">
        <v>10</v>
      </c>
      <c r="AB44" s="4">
        <v>10</v>
      </c>
      <c r="AY44" s="3" t="s">
        <v>22</v>
      </c>
      <c r="AZ44" s="3" t="s">
        <v>17</v>
      </c>
      <c r="BA44" s="3" t="s">
        <v>221</v>
      </c>
      <c r="BD44" s="3" t="str">
        <f t="shared" si="1"/>
        <v>Alto</v>
      </c>
      <c r="BE44" s="3" t="s">
        <v>623</v>
      </c>
      <c r="BF44" s="3" t="s">
        <v>222</v>
      </c>
      <c r="BG44" s="3" t="s">
        <v>93</v>
      </c>
      <c r="BH44" s="3" t="s">
        <v>223</v>
      </c>
    </row>
    <row r="45" spans="1:60" x14ac:dyDescent="0.3">
      <c r="A45" s="3" t="s">
        <v>1139</v>
      </c>
      <c r="B45" s="3" t="s">
        <v>26</v>
      </c>
      <c r="C45" s="3">
        <v>17</v>
      </c>
      <c r="D45" s="3">
        <v>10</v>
      </c>
      <c r="K45" s="4">
        <v>10</v>
      </c>
      <c r="L45" s="4">
        <v>10</v>
      </c>
      <c r="M45" s="4">
        <v>10</v>
      </c>
      <c r="N45" s="4">
        <v>10</v>
      </c>
      <c r="U45" s="4">
        <v>9</v>
      </c>
      <c r="V45" s="4">
        <v>10</v>
      </c>
      <c r="W45" s="4">
        <v>10</v>
      </c>
      <c r="X45" s="4">
        <v>10</v>
      </c>
      <c r="Z45" s="4">
        <v>8</v>
      </c>
      <c r="AA45" s="4">
        <v>10</v>
      </c>
      <c r="AB45" s="4">
        <v>7</v>
      </c>
      <c r="AY45" s="3" t="s">
        <v>22</v>
      </c>
      <c r="AZ45" s="3" t="s">
        <v>22</v>
      </c>
      <c r="BD45" s="3" t="str">
        <f t="shared" si="1"/>
        <v>Alto</v>
      </c>
      <c r="BE45" s="3" t="str">
        <f t="shared" si="0"/>
        <v>Aumentó</v>
      </c>
      <c r="BF45" s="3" t="s">
        <v>224</v>
      </c>
      <c r="BG45" s="3" t="s">
        <v>225</v>
      </c>
    </row>
    <row r="46" spans="1:60" x14ac:dyDescent="0.3">
      <c r="A46" s="3" t="s">
        <v>1139</v>
      </c>
      <c r="B46" s="3" t="s">
        <v>26</v>
      </c>
      <c r="C46" s="3">
        <v>18</v>
      </c>
      <c r="D46" s="3">
        <v>10</v>
      </c>
      <c r="K46" s="4">
        <v>10</v>
      </c>
      <c r="L46" s="4">
        <v>10</v>
      </c>
      <c r="M46" s="4">
        <v>10</v>
      </c>
      <c r="N46" s="4">
        <v>10</v>
      </c>
      <c r="U46" s="4">
        <v>10</v>
      </c>
      <c r="V46" s="4">
        <v>10</v>
      </c>
      <c r="W46" s="4">
        <v>10</v>
      </c>
      <c r="X46" s="4">
        <v>10</v>
      </c>
      <c r="Z46" s="4">
        <v>10</v>
      </c>
      <c r="AA46" s="4">
        <v>10</v>
      </c>
      <c r="AB46" s="4">
        <v>10</v>
      </c>
      <c r="AY46" s="3" t="s">
        <v>22</v>
      </c>
      <c r="AZ46" s="3" t="s">
        <v>17</v>
      </c>
      <c r="BD46" s="3" t="str">
        <f t="shared" si="1"/>
        <v>Alto</v>
      </c>
      <c r="BE46" s="3" t="s">
        <v>623</v>
      </c>
      <c r="BF46" s="3" t="s">
        <v>226</v>
      </c>
      <c r="BG46" s="3" t="s">
        <v>227</v>
      </c>
    </row>
    <row r="47" spans="1:60" x14ac:dyDescent="0.3">
      <c r="A47" s="3" t="s">
        <v>1139</v>
      </c>
      <c r="B47" s="3" t="s">
        <v>26</v>
      </c>
      <c r="C47" s="3">
        <v>17</v>
      </c>
      <c r="D47" s="3">
        <v>10</v>
      </c>
      <c r="K47" s="4">
        <v>10</v>
      </c>
      <c r="L47" s="4">
        <v>10</v>
      </c>
      <c r="M47" s="4">
        <v>10</v>
      </c>
      <c r="N47" s="4">
        <v>10</v>
      </c>
      <c r="U47" s="4">
        <v>10</v>
      </c>
      <c r="V47" s="4">
        <v>10</v>
      </c>
      <c r="W47" s="4">
        <v>10</v>
      </c>
      <c r="X47" s="4">
        <v>10</v>
      </c>
      <c r="Z47" s="4">
        <v>10</v>
      </c>
      <c r="AA47" s="4">
        <v>10</v>
      </c>
      <c r="AB47" s="4">
        <v>10</v>
      </c>
      <c r="AY47" s="3" t="s">
        <v>18</v>
      </c>
      <c r="AZ47" s="3" t="s">
        <v>22</v>
      </c>
      <c r="BD47" s="3" t="str">
        <f t="shared" si="1"/>
        <v>Moderado</v>
      </c>
      <c r="BE47" s="3" t="str">
        <f t="shared" si="0"/>
        <v>Aumentó</v>
      </c>
      <c r="BF47" s="3" t="s">
        <v>226</v>
      </c>
      <c r="BG47" s="3" t="s">
        <v>228</v>
      </c>
      <c r="BH47" s="3" t="s">
        <v>229</v>
      </c>
    </row>
    <row r="48" spans="1:60" x14ac:dyDescent="0.3">
      <c r="A48" s="3" t="s">
        <v>1139</v>
      </c>
      <c r="B48" s="3" t="s">
        <v>16</v>
      </c>
      <c r="C48" s="3">
        <v>18</v>
      </c>
      <c r="D48" s="3">
        <v>10</v>
      </c>
      <c r="K48" s="4">
        <v>10</v>
      </c>
      <c r="L48" s="4">
        <v>10</v>
      </c>
      <c r="M48" s="4">
        <v>10</v>
      </c>
      <c r="N48" s="4">
        <v>10</v>
      </c>
      <c r="U48" s="4">
        <v>10</v>
      </c>
      <c r="V48" s="4">
        <v>10</v>
      </c>
      <c r="W48" s="4">
        <v>10</v>
      </c>
      <c r="X48" s="4">
        <v>10</v>
      </c>
      <c r="Z48" s="4">
        <v>10</v>
      </c>
      <c r="AA48" s="4">
        <v>10</v>
      </c>
      <c r="AB48" s="4">
        <v>10</v>
      </c>
      <c r="AY48" s="3" t="s">
        <v>17</v>
      </c>
      <c r="BB48" s="3" t="s">
        <v>18</v>
      </c>
      <c r="BC48" s="3" t="s">
        <v>18</v>
      </c>
      <c r="BD48" s="3" t="str">
        <f t="shared" si="1"/>
        <v>Bajo</v>
      </c>
      <c r="BE48" s="3" t="str">
        <f t="shared" si="0"/>
        <v>Se mantuvo igual</v>
      </c>
      <c r="BF48" s="3" t="s">
        <v>230</v>
      </c>
      <c r="BG48" s="3" t="s">
        <v>231</v>
      </c>
      <c r="BH48" s="3" t="s">
        <v>215</v>
      </c>
    </row>
    <row r="49" spans="1:60" x14ac:dyDescent="0.3">
      <c r="A49" s="3" t="s">
        <v>1139</v>
      </c>
      <c r="B49" s="3" t="s">
        <v>26</v>
      </c>
      <c r="C49" s="3">
        <v>17</v>
      </c>
      <c r="D49" s="3">
        <v>10</v>
      </c>
      <c r="K49" s="4">
        <v>10</v>
      </c>
      <c r="L49" s="4">
        <v>10</v>
      </c>
      <c r="M49" s="4">
        <v>10</v>
      </c>
      <c r="N49" s="4">
        <v>10</v>
      </c>
      <c r="U49" s="4">
        <v>10</v>
      </c>
      <c r="V49" s="4">
        <v>10</v>
      </c>
      <c r="W49" s="4">
        <v>10</v>
      </c>
      <c r="X49" s="4">
        <v>10</v>
      </c>
      <c r="Z49" s="4">
        <v>10</v>
      </c>
      <c r="AA49" s="4">
        <v>9</v>
      </c>
      <c r="AB49" s="4">
        <v>10</v>
      </c>
      <c r="AY49" s="3" t="s">
        <v>22</v>
      </c>
      <c r="AZ49" s="3" t="s">
        <v>22</v>
      </c>
      <c r="BD49" s="3" t="str">
        <f t="shared" si="1"/>
        <v>Alto</v>
      </c>
      <c r="BE49" s="3" t="str">
        <f t="shared" si="0"/>
        <v>Aumentó</v>
      </c>
      <c r="BF49" s="3" t="s">
        <v>232</v>
      </c>
      <c r="BG49" s="3" t="s">
        <v>233</v>
      </c>
    </row>
    <row r="50" spans="1:60" x14ac:dyDescent="0.3">
      <c r="A50" s="3" t="s">
        <v>1139</v>
      </c>
      <c r="B50" s="3" t="s">
        <v>16</v>
      </c>
      <c r="C50" s="3">
        <v>17</v>
      </c>
      <c r="D50" s="3">
        <v>10</v>
      </c>
      <c r="U50" s="4">
        <v>10</v>
      </c>
      <c r="V50" s="4">
        <v>10</v>
      </c>
      <c r="W50" s="4">
        <v>10</v>
      </c>
      <c r="X50" s="4">
        <v>10</v>
      </c>
      <c r="Z50" s="4">
        <v>10</v>
      </c>
      <c r="AA50" s="4">
        <v>10</v>
      </c>
      <c r="AB50" s="4">
        <v>10</v>
      </c>
      <c r="AY50" s="3" t="s">
        <v>22</v>
      </c>
      <c r="AZ50" s="3" t="s">
        <v>17</v>
      </c>
      <c r="BD50" s="3" t="str">
        <f t="shared" si="1"/>
        <v>Alto</v>
      </c>
      <c r="BE50" s="3" t="s">
        <v>623</v>
      </c>
      <c r="BF50" s="3" t="s">
        <v>234</v>
      </c>
      <c r="BG50" s="3" t="s">
        <v>235</v>
      </c>
    </row>
    <row r="51" spans="1:60" x14ac:dyDescent="0.3">
      <c r="A51" s="3" t="s">
        <v>1139</v>
      </c>
      <c r="B51" s="3" t="s">
        <v>16</v>
      </c>
      <c r="C51" s="3">
        <v>17</v>
      </c>
      <c r="D51" s="3">
        <v>8</v>
      </c>
      <c r="E51" s="4">
        <v>8</v>
      </c>
      <c r="F51" s="4">
        <v>8</v>
      </c>
      <c r="G51" s="4">
        <v>7</v>
      </c>
      <c r="H51" s="4">
        <v>9</v>
      </c>
      <c r="K51" s="4">
        <v>9</v>
      </c>
      <c r="L51" s="4">
        <v>9</v>
      </c>
      <c r="M51" s="4">
        <v>8</v>
      </c>
      <c r="N51" s="4">
        <v>8</v>
      </c>
      <c r="Q51" s="4">
        <v>9</v>
      </c>
      <c r="R51" s="4">
        <v>9</v>
      </c>
      <c r="U51" s="4">
        <v>8</v>
      </c>
      <c r="V51" s="4">
        <v>9</v>
      </c>
      <c r="AY51" s="3" t="s">
        <v>18</v>
      </c>
      <c r="AZ51" s="3" t="s">
        <v>22</v>
      </c>
      <c r="BD51" s="3" t="str">
        <f t="shared" si="1"/>
        <v>Moderado</v>
      </c>
      <c r="BE51" s="3" t="str">
        <f t="shared" si="0"/>
        <v>Aumentó</v>
      </c>
      <c r="BF51" s="3" t="s">
        <v>154</v>
      </c>
      <c r="BG51" s="3" t="s">
        <v>236</v>
      </c>
    </row>
    <row r="52" spans="1:60" x14ac:dyDescent="0.3">
      <c r="A52" s="3" t="s">
        <v>1139</v>
      </c>
      <c r="B52" s="3" t="s">
        <v>26</v>
      </c>
      <c r="C52" s="3">
        <v>16</v>
      </c>
      <c r="D52" s="3">
        <v>10</v>
      </c>
      <c r="E52" s="4">
        <v>10</v>
      </c>
      <c r="F52" s="4">
        <v>10</v>
      </c>
      <c r="G52" s="4">
        <v>10</v>
      </c>
      <c r="H52" s="4">
        <v>10</v>
      </c>
      <c r="K52" s="4">
        <v>10</v>
      </c>
      <c r="L52" s="4">
        <v>10</v>
      </c>
      <c r="M52" s="4">
        <v>10</v>
      </c>
      <c r="N52" s="4">
        <v>10</v>
      </c>
      <c r="Q52" s="4">
        <v>10</v>
      </c>
      <c r="R52" s="4">
        <v>10</v>
      </c>
      <c r="U52" s="4">
        <v>9</v>
      </c>
      <c r="V52" s="4">
        <v>10</v>
      </c>
      <c r="AY52" s="3" t="s">
        <v>18</v>
      </c>
      <c r="AZ52" s="3" t="s">
        <v>17</v>
      </c>
      <c r="BA52" s="3" t="s">
        <v>237</v>
      </c>
      <c r="BD52" s="3" t="str">
        <f t="shared" si="1"/>
        <v>Moderado</v>
      </c>
      <c r="BE52" s="3" t="str">
        <f t="shared" si="0"/>
        <v>Se mantuvo igual</v>
      </c>
      <c r="BF52" s="3" t="s">
        <v>238</v>
      </c>
      <c r="BG52" s="3" t="s">
        <v>239</v>
      </c>
      <c r="BH52" s="3" t="s">
        <v>240</v>
      </c>
    </row>
    <row r="53" spans="1:60" x14ac:dyDescent="0.3">
      <c r="A53" s="3" t="s">
        <v>1139</v>
      </c>
      <c r="B53" s="3" t="s">
        <v>16</v>
      </c>
      <c r="C53" s="3">
        <v>17</v>
      </c>
      <c r="D53" s="3">
        <v>9</v>
      </c>
      <c r="E53" s="4">
        <v>10</v>
      </c>
      <c r="F53" s="4">
        <v>10</v>
      </c>
      <c r="G53" s="4">
        <v>10</v>
      </c>
      <c r="H53" s="4">
        <v>10</v>
      </c>
      <c r="K53" s="4">
        <v>10</v>
      </c>
      <c r="L53" s="4">
        <v>10</v>
      </c>
      <c r="M53" s="4">
        <v>10</v>
      </c>
      <c r="N53" s="4">
        <v>10</v>
      </c>
      <c r="Q53" s="4">
        <v>10</v>
      </c>
      <c r="R53" s="4">
        <v>10</v>
      </c>
      <c r="U53" s="4">
        <v>10</v>
      </c>
      <c r="V53" s="4">
        <v>10</v>
      </c>
      <c r="AY53" s="3" t="s">
        <v>18</v>
      </c>
      <c r="AZ53" s="3" t="s">
        <v>18</v>
      </c>
      <c r="BD53" s="3" t="str">
        <f t="shared" si="1"/>
        <v>Moderado</v>
      </c>
      <c r="BE53" s="3" t="str">
        <f t="shared" si="0"/>
        <v>Se mantuvo igual</v>
      </c>
      <c r="BF53" s="3" t="s">
        <v>242</v>
      </c>
      <c r="BG53" s="3" t="s">
        <v>28</v>
      </c>
    </row>
    <row r="54" spans="1:60" x14ac:dyDescent="0.3">
      <c r="A54" s="3" t="s">
        <v>1139</v>
      </c>
      <c r="B54" s="3" t="s">
        <v>26</v>
      </c>
      <c r="C54" s="3">
        <v>16</v>
      </c>
      <c r="D54" s="3">
        <v>10</v>
      </c>
      <c r="E54" s="4">
        <v>9</v>
      </c>
      <c r="F54" s="4">
        <v>9</v>
      </c>
      <c r="G54" s="4">
        <v>10</v>
      </c>
      <c r="H54" s="4">
        <v>10</v>
      </c>
      <c r="K54" s="4">
        <v>9</v>
      </c>
      <c r="L54" s="4">
        <v>9</v>
      </c>
      <c r="M54" s="4">
        <v>10</v>
      </c>
      <c r="N54" s="4">
        <v>10</v>
      </c>
      <c r="Q54" s="4">
        <v>10</v>
      </c>
      <c r="R54" s="4">
        <v>10</v>
      </c>
      <c r="U54" s="4">
        <v>10</v>
      </c>
      <c r="V54" s="4">
        <v>10</v>
      </c>
      <c r="AY54" s="3" t="s">
        <v>18</v>
      </c>
      <c r="AZ54" s="3" t="s">
        <v>22</v>
      </c>
      <c r="BD54" s="3" t="str">
        <f t="shared" si="1"/>
        <v>Moderado</v>
      </c>
      <c r="BE54" s="3" t="str">
        <f t="shared" si="0"/>
        <v>Aumentó</v>
      </c>
      <c r="BF54" s="3" t="s">
        <v>243</v>
      </c>
      <c r="BG54" s="3" t="s">
        <v>244</v>
      </c>
      <c r="BH54" s="3" t="s">
        <v>245</v>
      </c>
    </row>
    <row r="55" spans="1:60" x14ac:dyDescent="0.3">
      <c r="A55" s="3" t="s">
        <v>1139</v>
      </c>
      <c r="B55" s="3" t="s">
        <v>26</v>
      </c>
      <c r="C55" s="3">
        <v>16</v>
      </c>
      <c r="D55" s="3">
        <v>9</v>
      </c>
      <c r="E55" s="4">
        <v>9</v>
      </c>
      <c r="F55" s="4">
        <v>9</v>
      </c>
      <c r="G55" s="4">
        <v>9</v>
      </c>
      <c r="H55" s="4">
        <v>9</v>
      </c>
      <c r="K55" s="4">
        <v>10</v>
      </c>
      <c r="L55" s="4">
        <v>10</v>
      </c>
      <c r="M55" s="4">
        <v>9</v>
      </c>
      <c r="N55" s="4">
        <v>10</v>
      </c>
      <c r="Q55" s="4">
        <v>9</v>
      </c>
      <c r="R55" s="4">
        <v>9</v>
      </c>
      <c r="U55" s="4">
        <v>9</v>
      </c>
      <c r="V55" s="4">
        <v>9</v>
      </c>
      <c r="AY55" s="3" t="s">
        <v>17</v>
      </c>
      <c r="BB55" s="3" t="s">
        <v>17</v>
      </c>
      <c r="BC55" s="3" t="s">
        <v>22</v>
      </c>
      <c r="BD55" s="3" t="str">
        <f t="shared" si="1"/>
        <v>Bajo</v>
      </c>
      <c r="BE55" s="3" t="str">
        <f t="shared" si="0"/>
        <v>Se mantuvo igual</v>
      </c>
      <c r="BF55" s="3" t="s">
        <v>246</v>
      </c>
      <c r="BG55" s="3" t="s">
        <v>246</v>
      </c>
      <c r="BH55" s="3" t="s">
        <v>247</v>
      </c>
    </row>
    <row r="56" spans="1:60" x14ac:dyDescent="0.3">
      <c r="A56" s="3" t="s">
        <v>1139</v>
      </c>
      <c r="B56" s="3" t="s">
        <v>26</v>
      </c>
      <c r="C56" s="3">
        <v>16</v>
      </c>
      <c r="D56" s="3">
        <v>10</v>
      </c>
      <c r="E56" s="4">
        <v>10</v>
      </c>
      <c r="F56" s="4">
        <v>10</v>
      </c>
      <c r="G56" s="4">
        <v>10</v>
      </c>
      <c r="H56" s="4">
        <v>10</v>
      </c>
      <c r="K56" s="4">
        <v>10</v>
      </c>
      <c r="L56" s="4">
        <v>10</v>
      </c>
      <c r="M56" s="4">
        <v>10</v>
      </c>
      <c r="N56" s="4">
        <v>10</v>
      </c>
      <c r="Q56" s="4">
        <v>10</v>
      </c>
      <c r="R56" s="4">
        <v>10</v>
      </c>
      <c r="U56" s="4">
        <v>10</v>
      </c>
      <c r="V56" s="4">
        <v>10</v>
      </c>
      <c r="AY56" s="3" t="s">
        <v>18</v>
      </c>
      <c r="AZ56" s="3" t="s">
        <v>22</v>
      </c>
      <c r="BA56" s="3" t="s">
        <v>241</v>
      </c>
      <c r="BD56" s="3" t="str">
        <f t="shared" si="1"/>
        <v>Moderado</v>
      </c>
      <c r="BE56" s="3" t="str">
        <f t="shared" si="0"/>
        <v>Aumentó</v>
      </c>
      <c r="BF56" s="3" t="s">
        <v>248</v>
      </c>
      <c r="BG56" s="3" t="s">
        <v>249</v>
      </c>
      <c r="BH56" s="3" t="s">
        <v>241</v>
      </c>
    </row>
    <row r="57" spans="1:60" x14ac:dyDescent="0.3">
      <c r="A57" s="3" t="s">
        <v>1139</v>
      </c>
      <c r="B57" s="3" t="s">
        <v>26</v>
      </c>
      <c r="C57" s="3">
        <v>17</v>
      </c>
      <c r="D57" s="3">
        <v>9</v>
      </c>
      <c r="E57" s="4">
        <v>10</v>
      </c>
      <c r="F57" s="4">
        <v>10</v>
      </c>
      <c r="G57" s="4">
        <v>10</v>
      </c>
      <c r="H57" s="4">
        <v>10</v>
      </c>
      <c r="K57" s="4">
        <v>10</v>
      </c>
      <c r="L57" s="4">
        <v>10</v>
      </c>
      <c r="M57" s="4">
        <v>10</v>
      </c>
      <c r="N57" s="4">
        <v>9</v>
      </c>
      <c r="Q57" s="4">
        <v>9</v>
      </c>
      <c r="R57" s="4">
        <v>9</v>
      </c>
      <c r="U57" s="4">
        <v>10</v>
      </c>
      <c r="V57" s="4">
        <v>9</v>
      </c>
      <c r="AY57" s="3" t="s">
        <v>18</v>
      </c>
      <c r="AZ57" s="3" t="s">
        <v>22</v>
      </c>
      <c r="BD57" s="3" t="str">
        <f t="shared" si="1"/>
        <v>Moderado</v>
      </c>
      <c r="BE57" s="3" t="str">
        <f t="shared" si="0"/>
        <v>Aumentó</v>
      </c>
      <c r="BF57" s="3" t="s">
        <v>252</v>
      </c>
      <c r="BG57" s="3" t="s">
        <v>253</v>
      </c>
    </row>
    <row r="58" spans="1:60" x14ac:dyDescent="0.3">
      <c r="A58" s="3" t="s">
        <v>1139</v>
      </c>
      <c r="B58" s="3" t="s">
        <v>26</v>
      </c>
      <c r="C58" s="3">
        <v>16</v>
      </c>
      <c r="D58" s="3">
        <v>9</v>
      </c>
      <c r="E58" s="4">
        <v>8</v>
      </c>
      <c r="F58" s="4">
        <v>9</v>
      </c>
      <c r="G58" s="4">
        <v>10</v>
      </c>
      <c r="H58" s="4">
        <v>10</v>
      </c>
      <c r="K58" s="4">
        <v>8</v>
      </c>
      <c r="L58" s="4">
        <v>9</v>
      </c>
      <c r="M58" s="4">
        <v>10</v>
      </c>
      <c r="N58" s="4">
        <v>8</v>
      </c>
      <c r="Q58" s="4">
        <v>10</v>
      </c>
      <c r="R58" s="4">
        <v>10</v>
      </c>
      <c r="U58" s="4">
        <v>8</v>
      </c>
      <c r="V58" s="4">
        <v>8</v>
      </c>
      <c r="AY58" s="3" t="s">
        <v>22</v>
      </c>
      <c r="AZ58" s="3" t="s">
        <v>22</v>
      </c>
      <c r="BD58" s="3" t="str">
        <f t="shared" si="1"/>
        <v>Alto</v>
      </c>
      <c r="BE58" s="3" t="str">
        <f t="shared" si="0"/>
        <v>Aumentó</v>
      </c>
      <c r="BF58" s="3" t="s">
        <v>254</v>
      </c>
      <c r="BG58" s="3" t="s">
        <v>255</v>
      </c>
      <c r="BH58" s="3" t="s">
        <v>256</v>
      </c>
    </row>
    <row r="59" spans="1:60" x14ac:dyDescent="0.3">
      <c r="A59" s="3" t="s">
        <v>1139</v>
      </c>
      <c r="B59" s="3" t="s">
        <v>26</v>
      </c>
      <c r="C59" s="3">
        <v>17</v>
      </c>
      <c r="D59" s="3">
        <v>9</v>
      </c>
      <c r="E59" s="4">
        <v>9</v>
      </c>
      <c r="F59" s="4">
        <v>9</v>
      </c>
      <c r="G59" s="4">
        <v>9</v>
      </c>
      <c r="H59" s="4">
        <v>9</v>
      </c>
      <c r="K59" s="4">
        <v>8</v>
      </c>
      <c r="L59" s="4">
        <v>9</v>
      </c>
      <c r="M59" s="4">
        <v>8</v>
      </c>
      <c r="N59" s="4">
        <v>8</v>
      </c>
      <c r="Q59" s="4">
        <v>8</v>
      </c>
      <c r="R59" s="4">
        <v>8</v>
      </c>
      <c r="U59" s="4">
        <v>9</v>
      </c>
      <c r="V59" s="4">
        <v>9</v>
      </c>
      <c r="AY59" s="3" t="s">
        <v>22</v>
      </c>
      <c r="BC59" s="3" t="s">
        <v>257</v>
      </c>
      <c r="BD59" s="3" t="str">
        <f t="shared" si="1"/>
        <v>Alto</v>
      </c>
      <c r="BE59" s="3" t="s">
        <v>623</v>
      </c>
      <c r="BF59" s="3" t="s">
        <v>258</v>
      </c>
      <c r="BG59" s="3" t="s">
        <v>259</v>
      </c>
    </row>
    <row r="60" spans="1:60" x14ac:dyDescent="0.3">
      <c r="A60" s="3" t="s">
        <v>1139</v>
      </c>
      <c r="B60" s="3" t="s">
        <v>16</v>
      </c>
      <c r="C60" s="3">
        <v>18</v>
      </c>
      <c r="D60" s="3">
        <v>10</v>
      </c>
      <c r="E60" s="4">
        <v>10</v>
      </c>
      <c r="F60" s="4">
        <v>9</v>
      </c>
      <c r="G60" s="4">
        <v>10</v>
      </c>
      <c r="H60" s="4">
        <v>10</v>
      </c>
      <c r="K60" s="4">
        <v>9</v>
      </c>
      <c r="L60" s="4">
        <v>9</v>
      </c>
      <c r="M60" s="4">
        <v>9</v>
      </c>
      <c r="N60" s="4">
        <v>5</v>
      </c>
      <c r="Q60" s="4">
        <v>10</v>
      </c>
      <c r="R60" s="4">
        <v>10</v>
      </c>
      <c r="U60" s="4">
        <v>10</v>
      </c>
      <c r="V60" s="4">
        <v>10</v>
      </c>
      <c r="AY60" s="3" t="s">
        <v>18</v>
      </c>
      <c r="BC60" s="3" t="s">
        <v>260</v>
      </c>
      <c r="BD60" s="3" t="str">
        <f t="shared" si="1"/>
        <v>Moderado</v>
      </c>
      <c r="BE60" s="3" t="str">
        <f t="shared" si="0"/>
        <v>Se mantuvo igual</v>
      </c>
      <c r="BF60" s="3" t="s">
        <v>28</v>
      </c>
    </row>
    <row r="61" spans="1:60" x14ac:dyDescent="0.3">
      <c r="A61" s="3" t="s">
        <v>1139</v>
      </c>
      <c r="B61" s="3" t="s">
        <v>16</v>
      </c>
      <c r="C61" s="3">
        <v>16</v>
      </c>
      <c r="D61" s="3">
        <v>8</v>
      </c>
      <c r="E61" s="4">
        <v>5</v>
      </c>
      <c r="F61" s="4">
        <v>7</v>
      </c>
      <c r="G61" s="4">
        <v>5</v>
      </c>
      <c r="H61" s="4">
        <v>10</v>
      </c>
      <c r="K61" s="4">
        <v>6</v>
      </c>
      <c r="L61" s="4">
        <v>10</v>
      </c>
      <c r="M61" s="4">
        <v>9</v>
      </c>
      <c r="N61" s="4">
        <v>10</v>
      </c>
      <c r="Q61" s="4">
        <v>6</v>
      </c>
      <c r="R61" s="4">
        <v>5</v>
      </c>
      <c r="U61" s="4">
        <v>6</v>
      </c>
      <c r="V61" s="4">
        <v>8</v>
      </c>
      <c r="AY61" s="3" t="s">
        <v>22</v>
      </c>
      <c r="BC61" s="3" t="s">
        <v>261</v>
      </c>
      <c r="BD61" s="3" t="str">
        <f t="shared" si="1"/>
        <v>Alto</v>
      </c>
      <c r="BE61" s="3" t="s">
        <v>623</v>
      </c>
      <c r="BF61" s="3" t="s">
        <v>262</v>
      </c>
    </row>
    <row r="62" spans="1:60" x14ac:dyDescent="0.3">
      <c r="A62" s="3" t="s">
        <v>1139</v>
      </c>
      <c r="B62" s="3" t="s">
        <v>26</v>
      </c>
      <c r="C62" s="3">
        <v>16</v>
      </c>
      <c r="D62" s="3">
        <v>8</v>
      </c>
      <c r="E62" s="4">
        <v>8</v>
      </c>
      <c r="F62" s="4">
        <v>9</v>
      </c>
      <c r="G62" s="4">
        <v>7</v>
      </c>
      <c r="H62" s="4">
        <v>8</v>
      </c>
      <c r="K62" s="4">
        <v>7</v>
      </c>
      <c r="L62" s="4">
        <v>8</v>
      </c>
      <c r="M62" s="4">
        <v>10</v>
      </c>
      <c r="N62" s="4">
        <v>7</v>
      </c>
      <c r="O62" s="4">
        <v>4</v>
      </c>
      <c r="P62" s="4">
        <v>3</v>
      </c>
      <c r="AY62" s="3" t="s">
        <v>18</v>
      </c>
      <c r="AZ62" s="3" t="s">
        <v>22</v>
      </c>
      <c r="BD62" s="3" t="str">
        <f t="shared" si="1"/>
        <v>Moderado</v>
      </c>
      <c r="BE62" s="3" t="str">
        <f t="shared" si="0"/>
        <v>Aumentó</v>
      </c>
      <c r="BF62" s="3" t="s">
        <v>154</v>
      </c>
      <c r="BG62" s="3" t="s">
        <v>236</v>
      </c>
    </row>
    <row r="63" spans="1:60" x14ac:dyDescent="0.3">
      <c r="A63" s="3" t="s">
        <v>1139</v>
      </c>
      <c r="B63" s="3" t="s">
        <v>26</v>
      </c>
      <c r="C63" s="3">
        <v>16</v>
      </c>
      <c r="D63" s="3">
        <v>9</v>
      </c>
      <c r="E63" s="4">
        <v>9</v>
      </c>
      <c r="F63" s="4">
        <v>9</v>
      </c>
      <c r="G63" s="4">
        <v>2</v>
      </c>
      <c r="H63" s="4">
        <v>5</v>
      </c>
      <c r="K63" s="4">
        <v>6</v>
      </c>
      <c r="L63" s="4">
        <v>6</v>
      </c>
      <c r="M63" s="4">
        <v>10</v>
      </c>
      <c r="N63" s="4">
        <v>8</v>
      </c>
      <c r="O63" s="4">
        <v>1</v>
      </c>
      <c r="P63" s="4">
        <v>2</v>
      </c>
      <c r="AY63" s="3" t="s">
        <v>18</v>
      </c>
      <c r="AZ63" s="3" t="s">
        <v>17</v>
      </c>
      <c r="BA63" s="3" t="s">
        <v>237</v>
      </c>
      <c r="BD63" s="3" t="str">
        <f t="shared" si="1"/>
        <v>Moderado</v>
      </c>
      <c r="BE63" s="3" t="str">
        <f t="shared" si="0"/>
        <v>Se mantuvo igual</v>
      </c>
      <c r="BF63" s="3" t="s">
        <v>238</v>
      </c>
      <c r="BG63" s="3" t="s">
        <v>239</v>
      </c>
      <c r="BH63" s="3" t="s">
        <v>240</v>
      </c>
    </row>
    <row r="64" spans="1:60" x14ac:dyDescent="0.3">
      <c r="A64" s="3" t="s">
        <v>1139</v>
      </c>
      <c r="B64" s="3" t="s">
        <v>16</v>
      </c>
      <c r="C64" s="3">
        <v>16</v>
      </c>
      <c r="D64" s="3">
        <v>10</v>
      </c>
      <c r="E64" s="4">
        <v>10</v>
      </c>
      <c r="F64" s="4">
        <v>8</v>
      </c>
      <c r="G64" s="4">
        <v>8</v>
      </c>
      <c r="H64" s="4">
        <v>9</v>
      </c>
      <c r="K64" s="4">
        <v>8</v>
      </c>
      <c r="L64" s="4">
        <v>9</v>
      </c>
      <c r="M64" s="4">
        <v>9</v>
      </c>
      <c r="N64" s="4">
        <v>10</v>
      </c>
      <c r="O64" s="4">
        <v>8</v>
      </c>
      <c r="P64" s="4">
        <v>9</v>
      </c>
      <c r="AY64" s="3" t="s">
        <v>18</v>
      </c>
      <c r="AZ64" s="3" t="s">
        <v>18</v>
      </c>
      <c r="BD64" s="3" t="str">
        <f t="shared" si="1"/>
        <v>Moderado</v>
      </c>
      <c r="BE64" s="3" t="str">
        <f t="shared" si="0"/>
        <v>Se mantuvo igual</v>
      </c>
      <c r="BF64" s="3" t="s">
        <v>242</v>
      </c>
      <c r="BG64" s="3" t="s">
        <v>28</v>
      </c>
    </row>
    <row r="65" spans="1:60" x14ac:dyDescent="0.3">
      <c r="A65" s="3" t="s">
        <v>1139</v>
      </c>
      <c r="B65" s="3" t="s">
        <v>26</v>
      </c>
      <c r="C65" s="3">
        <v>16</v>
      </c>
      <c r="D65" s="3">
        <v>10</v>
      </c>
      <c r="E65" s="4">
        <v>8</v>
      </c>
      <c r="F65" s="4">
        <v>9</v>
      </c>
      <c r="G65" s="4">
        <v>9</v>
      </c>
      <c r="H65" s="4">
        <v>9</v>
      </c>
      <c r="K65" s="4">
        <v>10</v>
      </c>
      <c r="L65" s="4">
        <v>10</v>
      </c>
      <c r="M65" s="4">
        <v>9</v>
      </c>
      <c r="N65" s="4">
        <v>9</v>
      </c>
      <c r="O65" s="4">
        <v>2</v>
      </c>
      <c r="P65" s="4">
        <v>2</v>
      </c>
      <c r="AY65" s="3" t="s">
        <v>18</v>
      </c>
      <c r="AZ65" s="3" t="s">
        <v>22</v>
      </c>
      <c r="BD65" s="3" t="str">
        <f t="shared" si="1"/>
        <v>Moderado</v>
      </c>
      <c r="BE65" s="3" t="str">
        <f t="shared" si="0"/>
        <v>Aumentó</v>
      </c>
      <c r="BF65" s="3" t="s">
        <v>243</v>
      </c>
      <c r="BG65" s="3" t="s">
        <v>244</v>
      </c>
      <c r="BH65" s="3" t="s">
        <v>245</v>
      </c>
    </row>
    <row r="66" spans="1:60" x14ac:dyDescent="0.3">
      <c r="A66" s="3" t="s">
        <v>1139</v>
      </c>
      <c r="B66" s="3" t="s">
        <v>16</v>
      </c>
      <c r="C66" s="3">
        <v>16</v>
      </c>
      <c r="D66" s="3">
        <v>10</v>
      </c>
      <c r="E66" s="4">
        <v>10</v>
      </c>
      <c r="F66" s="4">
        <v>10</v>
      </c>
      <c r="G66" s="4">
        <v>10</v>
      </c>
      <c r="H66" s="4">
        <v>10</v>
      </c>
      <c r="K66" s="4">
        <v>10</v>
      </c>
      <c r="L66" s="4">
        <v>10</v>
      </c>
      <c r="M66" s="4">
        <v>10</v>
      </c>
      <c r="N66" s="4">
        <v>10</v>
      </c>
      <c r="O66" s="4">
        <v>4</v>
      </c>
      <c r="P66" s="4">
        <v>4</v>
      </c>
      <c r="AY66" s="3" t="s">
        <v>17</v>
      </c>
      <c r="BB66" s="3" t="s">
        <v>17</v>
      </c>
      <c r="BC66" s="3" t="s">
        <v>22</v>
      </c>
      <c r="BD66" s="3" t="str">
        <f t="shared" si="1"/>
        <v>Bajo</v>
      </c>
      <c r="BE66" s="3" t="str">
        <f t="shared" si="0"/>
        <v>Se mantuvo igual</v>
      </c>
      <c r="BF66" s="3" t="s">
        <v>246</v>
      </c>
      <c r="BG66" s="3" t="s">
        <v>246</v>
      </c>
      <c r="BH66" s="3" t="s">
        <v>247</v>
      </c>
    </row>
    <row r="67" spans="1:60" x14ac:dyDescent="0.3">
      <c r="A67" s="3" t="s">
        <v>1139</v>
      </c>
      <c r="B67" s="3" t="s">
        <v>26</v>
      </c>
      <c r="C67" s="3">
        <v>17</v>
      </c>
      <c r="D67" s="3">
        <v>8</v>
      </c>
      <c r="E67" s="4">
        <v>9</v>
      </c>
      <c r="F67" s="4">
        <v>8</v>
      </c>
      <c r="G67" s="4">
        <v>8</v>
      </c>
      <c r="H67" s="4">
        <v>9</v>
      </c>
      <c r="K67" s="4">
        <v>8</v>
      </c>
      <c r="L67" s="4">
        <v>8</v>
      </c>
      <c r="M67" s="4">
        <v>10</v>
      </c>
      <c r="N67" s="4">
        <v>10</v>
      </c>
      <c r="O67" s="4">
        <v>7</v>
      </c>
      <c r="P67" s="4">
        <v>4</v>
      </c>
      <c r="AY67" s="3" t="s">
        <v>18</v>
      </c>
      <c r="AZ67" s="3" t="s">
        <v>22</v>
      </c>
      <c r="BA67" s="3" t="s">
        <v>241</v>
      </c>
      <c r="BD67" s="3" t="str">
        <f t="shared" si="1"/>
        <v>Moderado</v>
      </c>
      <c r="BE67" s="3" t="str">
        <f t="shared" ref="BE67:BE129" si="2">IF(AZ67="Sí", "Aumentó", IF(AY67="Tal vez", "Se mantuvo igual", IF(AY67="No", "Se mantuvo igual", "")))</f>
        <v>Aumentó</v>
      </c>
      <c r="BF67" s="3" t="s">
        <v>248</v>
      </c>
      <c r="BG67" s="3" t="s">
        <v>249</v>
      </c>
      <c r="BH67" s="3" t="s">
        <v>241</v>
      </c>
    </row>
    <row r="68" spans="1:60" x14ac:dyDescent="0.3">
      <c r="A68" s="3" t="s">
        <v>1139</v>
      </c>
      <c r="B68" s="3" t="s">
        <v>16</v>
      </c>
      <c r="C68" s="3">
        <v>16</v>
      </c>
      <c r="D68" s="3">
        <v>10</v>
      </c>
      <c r="E68" s="4">
        <v>10</v>
      </c>
      <c r="F68" s="4">
        <v>9</v>
      </c>
      <c r="G68" s="4">
        <v>9</v>
      </c>
      <c r="H68" s="4">
        <v>10</v>
      </c>
      <c r="K68" s="4">
        <v>10</v>
      </c>
      <c r="L68" s="4">
        <v>8</v>
      </c>
      <c r="M68" s="4">
        <v>10</v>
      </c>
      <c r="N68" s="4">
        <v>10</v>
      </c>
      <c r="O68" s="4">
        <v>8</v>
      </c>
      <c r="P68" s="4">
        <v>6</v>
      </c>
      <c r="AY68" s="3" t="s">
        <v>17</v>
      </c>
      <c r="BB68" s="3" t="s">
        <v>22</v>
      </c>
      <c r="BC68" s="3" t="s">
        <v>22</v>
      </c>
      <c r="BD68" s="3" t="str">
        <f t="shared" ref="BD68:BD131" si="3">IF(AY68="Sí", "Alto", IF(AY68="Tal vez", "Moderado", IF(AY68="No", "Bajo", "")))</f>
        <v>Bajo</v>
      </c>
      <c r="BE68" s="3" t="str">
        <f t="shared" si="2"/>
        <v>Se mantuvo igual</v>
      </c>
      <c r="BF68" s="3" t="s">
        <v>250</v>
      </c>
      <c r="BG68" s="3" t="s">
        <v>251</v>
      </c>
    </row>
    <row r="69" spans="1:60" x14ac:dyDescent="0.3">
      <c r="A69" s="3" t="s">
        <v>1139</v>
      </c>
      <c r="B69" s="3" t="s">
        <v>26</v>
      </c>
      <c r="C69" s="3">
        <v>16</v>
      </c>
      <c r="D69" s="3">
        <v>9</v>
      </c>
      <c r="E69" s="4">
        <v>8</v>
      </c>
      <c r="F69" s="4">
        <v>8</v>
      </c>
      <c r="G69" s="4">
        <v>7</v>
      </c>
      <c r="H69" s="4">
        <v>9</v>
      </c>
      <c r="K69" s="4">
        <v>7</v>
      </c>
      <c r="L69" s="4">
        <v>8</v>
      </c>
      <c r="M69" s="4">
        <v>7</v>
      </c>
      <c r="N69" s="4">
        <v>7</v>
      </c>
      <c r="O69" s="4">
        <v>6</v>
      </c>
      <c r="P69" s="4">
        <v>6</v>
      </c>
      <c r="AY69" s="3" t="s">
        <v>18</v>
      </c>
      <c r="AZ69" s="3" t="s">
        <v>22</v>
      </c>
      <c r="BD69" s="3" t="str">
        <f t="shared" si="3"/>
        <v>Moderado</v>
      </c>
      <c r="BE69" s="3" t="str">
        <f t="shared" si="2"/>
        <v>Aumentó</v>
      </c>
      <c r="BF69" s="3" t="s">
        <v>252</v>
      </c>
      <c r="BG69" s="3" t="s">
        <v>253</v>
      </c>
    </row>
    <row r="70" spans="1:60" x14ac:dyDescent="0.3">
      <c r="A70" s="3" t="s">
        <v>1139</v>
      </c>
      <c r="B70" s="3" t="s">
        <v>26</v>
      </c>
      <c r="C70" s="3">
        <v>16</v>
      </c>
      <c r="D70" s="3">
        <v>9</v>
      </c>
      <c r="E70" s="4">
        <v>6</v>
      </c>
      <c r="F70" s="4">
        <v>8</v>
      </c>
      <c r="G70" s="4">
        <v>3</v>
      </c>
      <c r="H70" s="4">
        <v>6</v>
      </c>
      <c r="K70" s="4">
        <v>6</v>
      </c>
      <c r="L70" s="4">
        <v>9</v>
      </c>
      <c r="M70" s="4">
        <v>8</v>
      </c>
      <c r="N70" s="4">
        <v>7</v>
      </c>
      <c r="O70" s="4">
        <v>1</v>
      </c>
      <c r="P70" s="4">
        <v>1</v>
      </c>
      <c r="AY70" s="3" t="s">
        <v>22</v>
      </c>
      <c r="AZ70" s="3" t="s">
        <v>22</v>
      </c>
      <c r="BD70" s="3" t="str">
        <f t="shared" si="3"/>
        <v>Alto</v>
      </c>
      <c r="BE70" s="3" t="str">
        <f t="shared" si="2"/>
        <v>Aumentó</v>
      </c>
      <c r="BF70" s="3" t="s">
        <v>254</v>
      </c>
      <c r="BG70" s="3" t="s">
        <v>255</v>
      </c>
      <c r="BH70" s="3" t="s">
        <v>256</v>
      </c>
    </row>
    <row r="71" spans="1:60" x14ac:dyDescent="0.3">
      <c r="A71" s="3" t="s">
        <v>1139</v>
      </c>
      <c r="B71" s="3" t="s">
        <v>16</v>
      </c>
      <c r="C71" s="3">
        <v>17</v>
      </c>
      <c r="D71" s="3">
        <v>10</v>
      </c>
      <c r="E71" s="4">
        <v>10</v>
      </c>
      <c r="F71" s="4">
        <v>10</v>
      </c>
      <c r="G71" s="4">
        <v>10</v>
      </c>
      <c r="H71" s="4">
        <v>10</v>
      </c>
      <c r="K71" s="4">
        <v>10</v>
      </c>
      <c r="L71" s="4">
        <v>10</v>
      </c>
      <c r="M71" s="4">
        <v>10</v>
      </c>
      <c r="N71" s="4">
        <v>10</v>
      </c>
      <c r="U71" s="4">
        <v>10</v>
      </c>
      <c r="V71" s="4">
        <v>10</v>
      </c>
      <c r="AC71" s="4">
        <v>10</v>
      </c>
      <c r="AD71" s="4">
        <v>10</v>
      </c>
      <c r="AY71" s="3" t="s">
        <v>17</v>
      </c>
      <c r="BB71" s="3" t="s">
        <v>18</v>
      </c>
      <c r="BC71" s="3" t="s">
        <v>22</v>
      </c>
      <c r="BD71" s="3" t="str">
        <f t="shared" si="3"/>
        <v>Bajo</v>
      </c>
      <c r="BE71" s="3" t="str">
        <f t="shared" si="2"/>
        <v>Se mantuvo igual</v>
      </c>
      <c r="BF71" s="3" t="s">
        <v>263</v>
      </c>
      <c r="BG71" s="3" t="s">
        <v>264</v>
      </c>
    </row>
    <row r="72" spans="1:60" x14ac:dyDescent="0.3">
      <c r="A72" s="3" t="s">
        <v>1139</v>
      </c>
      <c r="B72" s="3" t="s">
        <v>16</v>
      </c>
      <c r="C72" s="3">
        <v>17</v>
      </c>
      <c r="D72" s="3">
        <v>10</v>
      </c>
      <c r="E72" s="4">
        <v>10</v>
      </c>
      <c r="F72" s="4">
        <v>10</v>
      </c>
      <c r="G72" s="4">
        <v>10</v>
      </c>
      <c r="H72" s="4">
        <v>10</v>
      </c>
      <c r="K72" s="4">
        <v>10</v>
      </c>
      <c r="L72" s="4">
        <v>10</v>
      </c>
      <c r="M72" s="4">
        <v>10</v>
      </c>
      <c r="N72" s="4">
        <v>10</v>
      </c>
      <c r="U72" s="4">
        <v>10</v>
      </c>
      <c r="V72" s="4">
        <v>10</v>
      </c>
      <c r="AC72" s="4">
        <v>10</v>
      </c>
      <c r="AD72" s="4">
        <v>10</v>
      </c>
      <c r="AY72" s="3" t="s">
        <v>22</v>
      </c>
      <c r="AZ72" s="3" t="s">
        <v>22</v>
      </c>
      <c r="BD72" s="3" t="str">
        <f t="shared" si="3"/>
        <v>Alto</v>
      </c>
      <c r="BE72" s="3" t="str">
        <f t="shared" si="2"/>
        <v>Aumentó</v>
      </c>
      <c r="BF72" s="3" t="s">
        <v>265</v>
      </c>
      <c r="BG72" s="3" t="s">
        <v>28</v>
      </c>
    </row>
    <row r="73" spans="1:60" x14ac:dyDescent="0.3">
      <c r="A73" s="3" t="s">
        <v>1139</v>
      </c>
      <c r="B73" s="3" t="s">
        <v>16</v>
      </c>
      <c r="C73" s="3">
        <v>18</v>
      </c>
      <c r="D73" s="3">
        <v>10</v>
      </c>
      <c r="E73" s="4">
        <v>10</v>
      </c>
      <c r="F73" s="4">
        <v>10</v>
      </c>
      <c r="G73" s="4">
        <v>1</v>
      </c>
      <c r="H73" s="4">
        <v>1</v>
      </c>
      <c r="K73" s="4">
        <v>10</v>
      </c>
      <c r="L73" s="4">
        <v>10</v>
      </c>
      <c r="M73" s="4">
        <v>10</v>
      </c>
      <c r="N73" s="4">
        <v>10</v>
      </c>
      <c r="U73" s="4">
        <v>10</v>
      </c>
      <c r="V73" s="4">
        <v>10</v>
      </c>
      <c r="AC73" s="4">
        <v>8</v>
      </c>
      <c r="AD73" s="4">
        <v>8</v>
      </c>
      <c r="AY73" s="3" t="s">
        <v>17</v>
      </c>
      <c r="BB73" s="3" t="s">
        <v>18</v>
      </c>
      <c r="BC73" s="3" t="s">
        <v>22</v>
      </c>
      <c r="BD73" s="3" t="str">
        <f t="shared" si="3"/>
        <v>Bajo</v>
      </c>
      <c r="BE73" s="3" t="str">
        <f t="shared" si="2"/>
        <v>Se mantuvo igual</v>
      </c>
      <c r="BF73" s="3" t="s">
        <v>266</v>
      </c>
      <c r="BG73" s="3" t="s">
        <v>267</v>
      </c>
    </row>
    <row r="74" spans="1:60" x14ac:dyDescent="0.3">
      <c r="A74" s="3" t="s">
        <v>1139</v>
      </c>
      <c r="B74" s="3" t="s">
        <v>16</v>
      </c>
      <c r="C74" s="3">
        <v>18</v>
      </c>
      <c r="D74" s="3">
        <v>10</v>
      </c>
      <c r="E74" s="4">
        <v>10</v>
      </c>
      <c r="F74" s="4">
        <v>10</v>
      </c>
      <c r="G74" s="4">
        <v>10</v>
      </c>
      <c r="H74" s="4">
        <v>10</v>
      </c>
      <c r="K74" s="4">
        <v>10</v>
      </c>
      <c r="L74" s="4">
        <v>10</v>
      </c>
      <c r="M74" s="4">
        <v>10</v>
      </c>
      <c r="N74" s="4">
        <v>10</v>
      </c>
      <c r="U74" s="4">
        <v>10</v>
      </c>
      <c r="V74" s="4">
        <v>10</v>
      </c>
      <c r="AC74" s="4">
        <v>10</v>
      </c>
      <c r="AD74" s="4">
        <v>10</v>
      </c>
      <c r="AY74" s="3" t="s">
        <v>18</v>
      </c>
      <c r="AZ74" s="3" t="s">
        <v>18</v>
      </c>
      <c r="BD74" s="3" t="str">
        <f t="shared" si="3"/>
        <v>Moderado</v>
      </c>
      <c r="BE74" s="3" t="str">
        <f t="shared" si="2"/>
        <v>Se mantuvo igual</v>
      </c>
      <c r="BF74" s="3" t="s">
        <v>268</v>
      </c>
      <c r="BG74" s="3" t="s">
        <v>269</v>
      </c>
    </row>
    <row r="75" spans="1:60" x14ac:dyDescent="0.3">
      <c r="A75" s="3" t="s">
        <v>1139</v>
      </c>
      <c r="B75" s="3" t="s">
        <v>16</v>
      </c>
      <c r="C75" s="3">
        <v>18</v>
      </c>
      <c r="D75" s="3">
        <v>10</v>
      </c>
      <c r="E75" s="4">
        <v>10</v>
      </c>
      <c r="F75" s="4">
        <v>10</v>
      </c>
      <c r="G75" s="4">
        <v>10</v>
      </c>
      <c r="H75" s="4">
        <v>10</v>
      </c>
      <c r="K75" s="4">
        <v>10</v>
      </c>
      <c r="L75" s="4">
        <v>10</v>
      </c>
      <c r="M75" s="4">
        <v>10</v>
      </c>
      <c r="N75" s="4">
        <v>10</v>
      </c>
      <c r="U75" s="4">
        <v>10</v>
      </c>
      <c r="V75" s="4">
        <v>10</v>
      </c>
      <c r="AC75" s="4">
        <v>10</v>
      </c>
      <c r="AD75" s="4">
        <v>10</v>
      </c>
      <c r="AY75" s="3" t="s">
        <v>17</v>
      </c>
      <c r="BB75" s="3" t="s">
        <v>18</v>
      </c>
      <c r="BC75" s="3" t="s">
        <v>22</v>
      </c>
      <c r="BD75" s="3" t="str">
        <f t="shared" si="3"/>
        <v>Bajo</v>
      </c>
      <c r="BE75" s="3" t="str">
        <f t="shared" si="2"/>
        <v>Se mantuvo igual</v>
      </c>
      <c r="BF75" s="3" t="s">
        <v>270</v>
      </c>
      <c r="BG75" s="3" t="s">
        <v>24</v>
      </c>
      <c r="BH75" s="3" t="s">
        <v>24</v>
      </c>
    </row>
    <row r="76" spans="1:60" x14ac:dyDescent="0.3">
      <c r="A76" s="3" t="s">
        <v>1139</v>
      </c>
      <c r="B76" s="3" t="s">
        <v>16</v>
      </c>
      <c r="C76" s="3">
        <v>17</v>
      </c>
      <c r="D76" s="3">
        <v>10</v>
      </c>
      <c r="E76" s="4">
        <v>10</v>
      </c>
      <c r="F76" s="4">
        <v>10</v>
      </c>
      <c r="G76" s="4">
        <v>10</v>
      </c>
      <c r="H76" s="4">
        <v>10</v>
      </c>
      <c r="K76" s="4">
        <v>10</v>
      </c>
      <c r="L76" s="4">
        <v>10</v>
      </c>
      <c r="M76" s="4">
        <v>10</v>
      </c>
      <c r="N76" s="4">
        <v>10</v>
      </c>
      <c r="U76" s="4">
        <v>10</v>
      </c>
      <c r="V76" s="4">
        <v>10</v>
      </c>
      <c r="AC76" s="4">
        <v>10</v>
      </c>
      <c r="AD76" s="4">
        <v>10</v>
      </c>
      <c r="AY76" s="3" t="s">
        <v>18</v>
      </c>
      <c r="AZ76" s="3" t="s">
        <v>18</v>
      </c>
      <c r="BD76" s="3" t="str">
        <f t="shared" si="3"/>
        <v>Moderado</v>
      </c>
      <c r="BE76" s="3" t="str">
        <f t="shared" si="2"/>
        <v>Se mantuvo igual</v>
      </c>
      <c r="BF76" s="3" t="s">
        <v>142</v>
      </c>
      <c r="BG76" s="3" t="s">
        <v>271</v>
      </c>
    </row>
    <row r="77" spans="1:60" x14ac:dyDescent="0.3">
      <c r="A77" s="3" t="s">
        <v>1139</v>
      </c>
      <c r="B77" s="3" t="s">
        <v>16</v>
      </c>
      <c r="C77" s="3">
        <v>18</v>
      </c>
      <c r="D77" s="3">
        <v>10</v>
      </c>
      <c r="E77" s="4">
        <v>10</v>
      </c>
      <c r="F77" s="4">
        <v>10</v>
      </c>
      <c r="G77" s="4">
        <v>10</v>
      </c>
      <c r="H77" s="4">
        <v>10</v>
      </c>
      <c r="K77" s="4">
        <v>10</v>
      </c>
      <c r="L77" s="4">
        <v>10</v>
      </c>
      <c r="M77" s="4">
        <v>10</v>
      </c>
      <c r="N77" s="4">
        <v>10</v>
      </c>
      <c r="U77" s="4">
        <v>10</v>
      </c>
      <c r="V77" s="4">
        <v>10</v>
      </c>
      <c r="AC77" s="4">
        <v>10</v>
      </c>
      <c r="AD77" s="4">
        <v>10</v>
      </c>
      <c r="AY77" s="3" t="s">
        <v>17</v>
      </c>
      <c r="BB77" s="3" t="s">
        <v>17</v>
      </c>
      <c r="BC77" s="3" t="s">
        <v>22</v>
      </c>
      <c r="BD77" s="3" t="str">
        <f t="shared" si="3"/>
        <v>Bajo</v>
      </c>
      <c r="BE77" s="3" t="str">
        <f t="shared" si="2"/>
        <v>Se mantuvo igual</v>
      </c>
      <c r="BF77" s="3" t="s">
        <v>272</v>
      </c>
      <c r="BG77" s="3" t="s">
        <v>273</v>
      </c>
      <c r="BH77" s="3" t="s">
        <v>274</v>
      </c>
    </row>
    <row r="78" spans="1:60" x14ac:dyDescent="0.3">
      <c r="A78" s="3" t="s">
        <v>1139</v>
      </c>
      <c r="B78" s="3" t="s">
        <v>26</v>
      </c>
      <c r="C78" s="3">
        <v>17</v>
      </c>
      <c r="D78" s="3">
        <v>10</v>
      </c>
      <c r="E78" s="4">
        <v>9</v>
      </c>
      <c r="F78" s="4">
        <v>10</v>
      </c>
      <c r="G78" s="4">
        <v>10</v>
      </c>
      <c r="H78" s="4">
        <v>10</v>
      </c>
      <c r="K78" s="4">
        <v>10</v>
      </c>
      <c r="L78" s="4">
        <v>10</v>
      </c>
      <c r="M78" s="4">
        <v>10</v>
      </c>
      <c r="N78" s="4">
        <v>10</v>
      </c>
      <c r="U78" s="4">
        <v>10</v>
      </c>
      <c r="V78" s="4">
        <v>10</v>
      </c>
      <c r="AC78" s="4">
        <v>10</v>
      </c>
      <c r="AD78" s="4">
        <v>10</v>
      </c>
      <c r="AY78" s="3" t="s">
        <v>22</v>
      </c>
      <c r="AZ78" s="3" t="s">
        <v>18</v>
      </c>
      <c r="BD78" s="3" t="str">
        <f t="shared" si="3"/>
        <v>Alto</v>
      </c>
      <c r="BE78" s="3" t="s">
        <v>623</v>
      </c>
      <c r="BF78" s="3" t="s">
        <v>275</v>
      </c>
      <c r="BG78" s="3" t="s">
        <v>229</v>
      </c>
    </row>
    <row r="79" spans="1:60" x14ac:dyDescent="0.3">
      <c r="A79" s="3" t="s">
        <v>1139</v>
      </c>
      <c r="B79" s="3" t="s">
        <v>26</v>
      </c>
      <c r="C79" s="3">
        <v>17</v>
      </c>
      <c r="D79" s="3">
        <v>10</v>
      </c>
      <c r="E79" s="4">
        <v>10</v>
      </c>
      <c r="F79" s="4">
        <v>10</v>
      </c>
      <c r="G79" s="4">
        <v>1</v>
      </c>
      <c r="H79" s="4">
        <v>1</v>
      </c>
      <c r="K79" s="4">
        <v>10</v>
      </c>
      <c r="L79" s="4">
        <v>10</v>
      </c>
      <c r="M79" s="4">
        <v>10</v>
      </c>
      <c r="N79" s="4">
        <v>10</v>
      </c>
      <c r="U79" s="4">
        <v>10</v>
      </c>
      <c r="V79" s="4">
        <v>10</v>
      </c>
      <c r="AC79" s="4">
        <v>8</v>
      </c>
      <c r="AD79" s="4">
        <v>8</v>
      </c>
      <c r="AY79" s="3" t="s">
        <v>22</v>
      </c>
      <c r="AZ79" s="3" t="s">
        <v>17</v>
      </c>
      <c r="BA79" s="3" t="s">
        <v>276</v>
      </c>
      <c r="BD79" s="3" t="str">
        <f t="shared" si="3"/>
        <v>Alto</v>
      </c>
      <c r="BE79" s="3" t="s">
        <v>623</v>
      </c>
      <c r="BF79" s="3" t="s">
        <v>277</v>
      </c>
      <c r="BG79" s="3" t="s">
        <v>278</v>
      </c>
      <c r="BH79" s="3" t="s">
        <v>279</v>
      </c>
    </row>
    <row r="80" spans="1:60" x14ac:dyDescent="0.3">
      <c r="A80" s="3" t="s">
        <v>1139</v>
      </c>
      <c r="B80" s="3" t="s">
        <v>16</v>
      </c>
      <c r="C80" s="3">
        <v>17</v>
      </c>
      <c r="D80" s="3">
        <v>10</v>
      </c>
      <c r="E80" s="4">
        <v>10</v>
      </c>
      <c r="F80" s="4">
        <v>10</v>
      </c>
      <c r="G80" s="4">
        <v>10</v>
      </c>
      <c r="H80" s="4">
        <v>10</v>
      </c>
      <c r="K80" s="4">
        <v>10</v>
      </c>
      <c r="L80" s="4">
        <v>10</v>
      </c>
      <c r="M80" s="4">
        <v>10</v>
      </c>
      <c r="N80" s="4">
        <v>10</v>
      </c>
      <c r="U80" s="4">
        <v>10</v>
      </c>
      <c r="V80" s="4">
        <v>10</v>
      </c>
      <c r="AC80" s="4">
        <v>10</v>
      </c>
      <c r="AD80" s="4">
        <v>10</v>
      </c>
      <c r="AY80" s="3" t="s">
        <v>17</v>
      </c>
      <c r="BB80" s="3" t="s">
        <v>18</v>
      </c>
      <c r="BC80" s="3" t="s">
        <v>22</v>
      </c>
      <c r="BD80" s="3" t="str">
        <f t="shared" si="3"/>
        <v>Bajo</v>
      </c>
      <c r="BE80" s="3" t="str">
        <f t="shared" si="2"/>
        <v>Se mantuvo igual</v>
      </c>
      <c r="BF80" s="3" t="s">
        <v>147</v>
      </c>
      <c r="BG80" s="3" t="s">
        <v>280</v>
      </c>
    </row>
    <row r="81" spans="1:60" x14ac:dyDescent="0.3">
      <c r="A81" s="3" t="s">
        <v>1139</v>
      </c>
      <c r="B81" s="3" t="s">
        <v>16</v>
      </c>
      <c r="C81" s="3">
        <v>17</v>
      </c>
      <c r="D81" s="3">
        <v>10</v>
      </c>
      <c r="E81" s="4">
        <v>10</v>
      </c>
      <c r="F81" s="4">
        <v>10</v>
      </c>
      <c r="G81" s="4">
        <v>10</v>
      </c>
      <c r="H81" s="4">
        <v>10</v>
      </c>
      <c r="K81" s="4">
        <v>10</v>
      </c>
      <c r="L81" s="4">
        <v>10</v>
      </c>
      <c r="M81" s="4">
        <v>10</v>
      </c>
      <c r="N81" s="4">
        <v>10</v>
      </c>
      <c r="U81" s="4">
        <v>10</v>
      </c>
      <c r="V81" s="4">
        <v>10</v>
      </c>
      <c r="AC81" s="4">
        <v>10</v>
      </c>
      <c r="AD81" s="4">
        <v>10</v>
      </c>
      <c r="AY81" s="3" t="s">
        <v>17</v>
      </c>
      <c r="BB81" s="3" t="s">
        <v>18</v>
      </c>
      <c r="BC81" s="3" t="s">
        <v>22</v>
      </c>
      <c r="BD81" s="3" t="str">
        <f t="shared" si="3"/>
        <v>Bajo</v>
      </c>
      <c r="BE81" s="3" t="str">
        <f t="shared" si="2"/>
        <v>Se mantuvo igual</v>
      </c>
      <c r="BF81" s="3" t="s">
        <v>281</v>
      </c>
      <c r="BG81" s="3" t="s">
        <v>24</v>
      </c>
      <c r="BH81" s="3" t="s">
        <v>282</v>
      </c>
    </row>
    <row r="82" spans="1:60" x14ac:dyDescent="0.3">
      <c r="A82" s="3" t="s">
        <v>1139</v>
      </c>
      <c r="B82" s="3" t="s">
        <v>16</v>
      </c>
      <c r="C82" s="3">
        <v>17</v>
      </c>
      <c r="D82" s="3">
        <v>10</v>
      </c>
      <c r="E82" s="4">
        <v>10</v>
      </c>
      <c r="F82" s="4">
        <v>9</v>
      </c>
      <c r="G82" s="4">
        <v>1</v>
      </c>
      <c r="H82" s="4">
        <v>1</v>
      </c>
      <c r="K82" s="4">
        <v>9</v>
      </c>
      <c r="L82" s="4">
        <v>10</v>
      </c>
      <c r="M82" s="4">
        <v>10</v>
      </c>
      <c r="N82" s="4">
        <v>9</v>
      </c>
      <c r="U82" s="4">
        <v>10</v>
      </c>
      <c r="V82" s="4">
        <v>10</v>
      </c>
      <c r="AC82" s="4">
        <v>8</v>
      </c>
      <c r="AD82" s="4">
        <v>9</v>
      </c>
      <c r="AY82" s="3" t="s">
        <v>17</v>
      </c>
      <c r="BB82" s="3" t="s">
        <v>17</v>
      </c>
      <c r="BC82" s="3" t="s">
        <v>18</v>
      </c>
      <c r="BD82" s="3" t="str">
        <f t="shared" si="3"/>
        <v>Bajo</v>
      </c>
      <c r="BE82" s="3" t="str">
        <f t="shared" si="2"/>
        <v>Se mantuvo igual</v>
      </c>
      <c r="BF82" s="3" t="s">
        <v>148</v>
      </c>
      <c r="BG82" s="3" t="s">
        <v>283</v>
      </c>
    </row>
    <row r="83" spans="1:60" x14ac:dyDescent="0.3">
      <c r="A83" s="3" t="s">
        <v>1139</v>
      </c>
      <c r="B83" s="3" t="s">
        <v>26</v>
      </c>
      <c r="C83" s="3">
        <v>17</v>
      </c>
      <c r="D83" s="3">
        <v>8</v>
      </c>
      <c r="E83" s="4">
        <v>8</v>
      </c>
      <c r="F83" s="4">
        <v>8</v>
      </c>
      <c r="G83" s="4">
        <v>5</v>
      </c>
      <c r="H83" s="4">
        <v>5</v>
      </c>
      <c r="K83" s="4">
        <v>6</v>
      </c>
      <c r="L83" s="4">
        <v>6</v>
      </c>
      <c r="M83" s="4">
        <v>5</v>
      </c>
      <c r="N83" s="4">
        <v>5</v>
      </c>
      <c r="U83" s="4">
        <v>9</v>
      </c>
      <c r="V83" s="4">
        <v>9</v>
      </c>
      <c r="AC83" s="4">
        <v>7</v>
      </c>
      <c r="AD83" s="4">
        <v>7</v>
      </c>
      <c r="AY83" s="3" t="s">
        <v>18</v>
      </c>
      <c r="AZ83" s="3" t="s">
        <v>18</v>
      </c>
      <c r="BD83" s="3" t="str">
        <f t="shared" si="3"/>
        <v>Moderado</v>
      </c>
      <c r="BE83" s="3" t="str">
        <f t="shared" si="2"/>
        <v>Se mantuvo igual</v>
      </c>
      <c r="BF83" s="3" t="s">
        <v>284</v>
      </c>
      <c r="BG83" s="3" t="s">
        <v>285</v>
      </c>
      <c r="BH83" s="3" t="s">
        <v>28</v>
      </c>
    </row>
    <row r="84" spans="1:60" x14ac:dyDescent="0.3">
      <c r="A84" s="3" t="s">
        <v>1139</v>
      </c>
      <c r="B84" s="3" t="s">
        <v>26</v>
      </c>
      <c r="C84" s="3">
        <v>17</v>
      </c>
      <c r="D84" s="3">
        <v>9</v>
      </c>
      <c r="E84" s="4">
        <v>8</v>
      </c>
      <c r="F84" s="4">
        <v>8</v>
      </c>
      <c r="G84" s="4">
        <v>1</v>
      </c>
      <c r="H84" s="4">
        <v>1</v>
      </c>
      <c r="K84" s="4">
        <v>10</v>
      </c>
      <c r="L84" s="4">
        <v>10</v>
      </c>
      <c r="M84" s="4">
        <v>7</v>
      </c>
      <c r="N84" s="4">
        <v>7</v>
      </c>
      <c r="U84" s="4">
        <v>10</v>
      </c>
      <c r="V84" s="4">
        <v>10</v>
      </c>
      <c r="AC84" s="4">
        <v>9</v>
      </c>
      <c r="AD84" s="4">
        <v>10</v>
      </c>
      <c r="AY84" s="3" t="s">
        <v>18</v>
      </c>
      <c r="AZ84" s="3" t="s">
        <v>22</v>
      </c>
      <c r="BD84" s="3" t="str">
        <f t="shared" si="3"/>
        <v>Moderado</v>
      </c>
      <c r="BE84" s="3" t="str">
        <f t="shared" si="2"/>
        <v>Aumentó</v>
      </c>
      <c r="BF84" s="3" t="s">
        <v>286</v>
      </c>
      <c r="BG84" s="3" t="s">
        <v>287</v>
      </c>
      <c r="BH84" s="3" t="s">
        <v>288</v>
      </c>
    </row>
    <row r="85" spans="1:60" x14ac:dyDescent="0.3">
      <c r="A85" s="3" t="s">
        <v>1139</v>
      </c>
      <c r="B85" s="3" t="s">
        <v>26</v>
      </c>
      <c r="C85" s="3">
        <v>17</v>
      </c>
      <c r="D85" s="3">
        <v>8</v>
      </c>
      <c r="E85" s="4">
        <v>9</v>
      </c>
      <c r="F85" s="4">
        <v>10</v>
      </c>
      <c r="G85" s="4">
        <v>5</v>
      </c>
      <c r="H85" s="4">
        <v>5</v>
      </c>
      <c r="K85" s="4">
        <v>10</v>
      </c>
      <c r="L85" s="4">
        <v>10</v>
      </c>
      <c r="M85" s="4">
        <v>7</v>
      </c>
      <c r="N85" s="4">
        <v>6</v>
      </c>
      <c r="U85" s="4">
        <v>10</v>
      </c>
      <c r="V85" s="4">
        <v>10</v>
      </c>
      <c r="AC85" s="4">
        <v>7</v>
      </c>
      <c r="AD85" s="4">
        <v>6</v>
      </c>
      <c r="AY85" s="3" t="s">
        <v>17</v>
      </c>
      <c r="BB85" s="3" t="s">
        <v>17</v>
      </c>
      <c r="BC85" s="3" t="s">
        <v>22</v>
      </c>
      <c r="BD85" s="3" t="str">
        <f t="shared" si="3"/>
        <v>Bajo</v>
      </c>
      <c r="BE85" s="3" t="str">
        <f t="shared" si="2"/>
        <v>Se mantuvo igual</v>
      </c>
      <c r="BF85" s="3" t="s">
        <v>289</v>
      </c>
      <c r="BG85" s="3" t="s">
        <v>93</v>
      </c>
      <c r="BH85" s="3" t="s">
        <v>28</v>
      </c>
    </row>
    <row r="86" spans="1:60" x14ac:dyDescent="0.3">
      <c r="A86" s="3" t="s">
        <v>1139</v>
      </c>
      <c r="B86" s="3" t="s">
        <v>16</v>
      </c>
      <c r="C86" s="3">
        <v>18</v>
      </c>
      <c r="D86" s="3">
        <v>10</v>
      </c>
      <c r="E86" s="4">
        <v>10</v>
      </c>
      <c r="F86" s="4">
        <v>10</v>
      </c>
      <c r="G86" s="4">
        <v>10</v>
      </c>
      <c r="H86" s="4">
        <v>10</v>
      </c>
      <c r="K86" s="4">
        <v>10</v>
      </c>
      <c r="L86" s="4">
        <v>10</v>
      </c>
      <c r="M86" s="4">
        <v>10</v>
      </c>
      <c r="N86" s="4">
        <v>10</v>
      </c>
      <c r="U86" s="4">
        <v>10</v>
      </c>
      <c r="V86" s="4">
        <v>10</v>
      </c>
      <c r="AC86" s="4">
        <v>10</v>
      </c>
      <c r="AD86" s="4">
        <v>10</v>
      </c>
      <c r="AY86" s="3" t="s">
        <v>17</v>
      </c>
      <c r="BB86" s="3" t="s">
        <v>22</v>
      </c>
      <c r="BC86" s="3" t="s">
        <v>22</v>
      </c>
      <c r="BD86" s="3" t="str">
        <f t="shared" si="3"/>
        <v>Bajo</v>
      </c>
      <c r="BE86" s="3" t="str">
        <f t="shared" si="2"/>
        <v>Se mantuvo igual</v>
      </c>
      <c r="BF86" s="3" t="s">
        <v>290</v>
      </c>
      <c r="BG86" s="3" t="s">
        <v>200</v>
      </c>
    </row>
    <row r="87" spans="1:60" x14ac:dyDescent="0.3">
      <c r="A87" s="3" t="s">
        <v>1139</v>
      </c>
      <c r="B87" s="3" t="s">
        <v>26</v>
      </c>
      <c r="C87" s="3">
        <v>17</v>
      </c>
      <c r="D87" s="3">
        <v>9</v>
      </c>
      <c r="E87" s="4">
        <v>10</v>
      </c>
      <c r="F87" s="4">
        <v>10</v>
      </c>
      <c r="G87" s="4">
        <v>1</v>
      </c>
      <c r="H87" s="4">
        <v>1</v>
      </c>
      <c r="K87" s="4">
        <v>10</v>
      </c>
      <c r="L87" s="4">
        <v>10</v>
      </c>
      <c r="M87" s="4">
        <v>10</v>
      </c>
      <c r="N87" s="4">
        <v>8</v>
      </c>
      <c r="U87" s="4">
        <v>10</v>
      </c>
      <c r="V87" s="4">
        <v>10</v>
      </c>
      <c r="AC87" s="4">
        <v>10</v>
      </c>
      <c r="AD87" s="4">
        <v>9</v>
      </c>
      <c r="AY87" s="3" t="s">
        <v>18</v>
      </c>
      <c r="AZ87" s="3" t="s">
        <v>17</v>
      </c>
      <c r="BD87" s="3" t="str">
        <f t="shared" si="3"/>
        <v>Moderado</v>
      </c>
      <c r="BE87" s="3" t="str">
        <f t="shared" si="2"/>
        <v>Se mantuvo igual</v>
      </c>
      <c r="BF87" s="3" t="s">
        <v>291</v>
      </c>
      <c r="BG87" s="3" t="s">
        <v>292</v>
      </c>
      <c r="BH87" s="3" t="s">
        <v>28</v>
      </c>
    </row>
    <row r="88" spans="1:60" x14ac:dyDescent="0.3">
      <c r="A88" s="3" t="s">
        <v>1139</v>
      </c>
      <c r="B88" s="3" t="s">
        <v>16</v>
      </c>
      <c r="C88" s="3">
        <v>14</v>
      </c>
      <c r="D88" s="3">
        <v>9</v>
      </c>
      <c r="G88" s="4">
        <v>6</v>
      </c>
      <c r="H88" s="4">
        <v>6</v>
      </c>
      <c r="I88" s="4">
        <v>8</v>
      </c>
      <c r="J88" s="4">
        <v>8</v>
      </c>
      <c r="K88" s="4">
        <v>6</v>
      </c>
      <c r="L88" s="4">
        <v>6</v>
      </c>
      <c r="M88" s="4">
        <v>6</v>
      </c>
      <c r="N88" s="4">
        <v>6</v>
      </c>
      <c r="W88" s="4">
        <v>9</v>
      </c>
      <c r="X88" s="4">
        <v>8</v>
      </c>
      <c r="Y88" s="4">
        <v>6</v>
      </c>
      <c r="Z88" s="4">
        <v>6</v>
      </c>
      <c r="AY88" s="3" t="s">
        <v>17</v>
      </c>
      <c r="BB88" s="3" t="s">
        <v>17</v>
      </c>
      <c r="BC88" s="3" t="s">
        <v>18</v>
      </c>
      <c r="BD88" s="3" t="str">
        <f t="shared" si="3"/>
        <v>Bajo</v>
      </c>
      <c r="BE88" s="3" t="str">
        <f t="shared" si="2"/>
        <v>Se mantuvo igual</v>
      </c>
      <c r="BF88" s="3" t="s">
        <v>19</v>
      </c>
      <c r="BG88" s="3" t="s">
        <v>20</v>
      </c>
      <c r="BH88" s="3" t="s">
        <v>21</v>
      </c>
    </row>
    <row r="89" spans="1:60" x14ac:dyDescent="0.3">
      <c r="A89" s="3" t="s">
        <v>1139</v>
      </c>
      <c r="B89" s="3" t="s">
        <v>16</v>
      </c>
      <c r="C89" s="3">
        <v>14</v>
      </c>
      <c r="D89" s="3">
        <v>10</v>
      </c>
      <c r="G89" s="4">
        <v>8</v>
      </c>
      <c r="H89" s="4">
        <v>9</v>
      </c>
      <c r="I89" s="4">
        <v>10</v>
      </c>
      <c r="J89" s="4">
        <v>10</v>
      </c>
      <c r="K89" s="4">
        <v>8</v>
      </c>
      <c r="L89" s="4">
        <v>8</v>
      </c>
      <c r="M89" s="4">
        <v>10</v>
      </c>
      <c r="N89" s="4">
        <v>10</v>
      </c>
      <c r="W89" s="4">
        <v>10</v>
      </c>
      <c r="X89" s="4">
        <v>10</v>
      </c>
      <c r="Y89" s="4">
        <v>9</v>
      </c>
      <c r="Z89" s="4">
        <v>9</v>
      </c>
      <c r="AY89" s="3" t="s">
        <v>17</v>
      </c>
      <c r="BB89" s="3" t="s">
        <v>18</v>
      </c>
      <c r="BC89" s="3" t="s">
        <v>22</v>
      </c>
      <c r="BD89" s="3" t="str">
        <f t="shared" si="3"/>
        <v>Bajo</v>
      </c>
      <c r="BE89" s="3" t="str">
        <f t="shared" si="2"/>
        <v>Se mantuvo igual</v>
      </c>
      <c r="BF89" s="3" t="s">
        <v>23</v>
      </c>
      <c r="BG89" s="3" t="s">
        <v>24</v>
      </c>
      <c r="BH89" s="3" t="s">
        <v>25</v>
      </c>
    </row>
    <row r="90" spans="1:60" x14ac:dyDescent="0.3">
      <c r="A90" s="3" t="s">
        <v>1139</v>
      </c>
      <c r="B90" s="3" t="s">
        <v>26</v>
      </c>
      <c r="C90" s="3">
        <v>14</v>
      </c>
      <c r="D90" s="3">
        <v>10</v>
      </c>
      <c r="G90" s="4">
        <v>5</v>
      </c>
      <c r="H90" s="4">
        <v>6</v>
      </c>
      <c r="I90" s="4">
        <v>10</v>
      </c>
      <c r="J90" s="4">
        <v>9</v>
      </c>
      <c r="K90" s="4">
        <v>4</v>
      </c>
      <c r="L90" s="4">
        <v>6</v>
      </c>
      <c r="M90" s="4">
        <v>10</v>
      </c>
      <c r="N90" s="4">
        <v>10</v>
      </c>
      <c r="W90" s="4">
        <v>10</v>
      </c>
      <c r="X90" s="4">
        <v>6</v>
      </c>
      <c r="Y90" s="4">
        <v>10</v>
      </c>
      <c r="Z90" s="4">
        <v>7</v>
      </c>
      <c r="AY90" s="3" t="s">
        <v>18</v>
      </c>
      <c r="AZ90" s="3" t="s">
        <v>22</v>
      </c>
      <c r="BD90" s="3" t="str">
        <f t="shared" si="3"/>
        <v>Moderado</v>
      </c>
      <c r="BE90" s="3" t="str">
        <f t="shared" si="2"/>
        <v>Aumentó</v>
      </c>
      <c r="BF90" s="3" t="s">
        <v>27</v>
      </c>
      <c r="BG90" s="3" t="s">
        <v>28</v>
      </c>
      <c r="BH90" s="3" t="s">
        <v>29</v>
      </c>
    </row>
    <row r="91" spans="1:60" x14ac:dyDescent="0.3">
      <c r="A91" s="3" t="s">
        <v>1139</v>
      </c>
      <c r="B91" s="3" t="s">
        <v>26</v>
      </c>
      <c r="C91" s="3">
        <v>15</v>
      </c>
      <c r="D91" s="3">
        <v>10</v>
      </c>
      <c r="G91" s="4">
        <v>10</v>
      </c>
      <c r="H91" s="4">
        <v>10</v>
      </c>
      <c r="I91" s="4">
        <v>10</v>
      </c>
      <c r="J91" s="4">
        <v>10</v>
      </c>
      <c r="K91" s="4">
        <v>10</v>
      </c>
      <c r="L91" s="4">
        <v>10</v>
      </c>
      <c r="M91" s="4">
        <v>10</v>
      </c>
      <c r="N91" s="4">
        <v>10</v>
      </c>
      <c r="W91" s="4">
        <v>10</v>
      </c>
      <c r="X91" s="4">
        <v>10</v>
      </c>
      <c r="Y91" s="4">
        <v>10</v>
      </c>
      <c r="Z91" s="4">
        <v>10</v>
      </c>
      <c r="AY91" s="3" t="s">
        <v>18</v>
      </c>
      <c r="AZ91" s="3" t="s">
        <v>17</v>
      </c>
      <c r="BD91" s="3" t="str">
        <f t="shared" si="3"/>
        <v>Moderado</v>
      </c>
      <c r="BE91" s="3" t="str">
        <f t="shared" si="2"/>
        <v>Se mantuvo igual</v>
      </c>
      <c r="BF91" s="3" t="s">
        <v>30</v>
      </c>
      <c r="BG91" s="3" t="s">
        <v>28</v>
      </c>
      <c r="BH91" s="3" t="s">
        <v>31</v>
      </c>
    </row>
    <row r="92" spans="1:60" x14ac:dyDescent="0.3">
      <c r="A92" s="3" t="s">
        <v>1139</v>
      </c>
      <c r="B92" s="3" t="s">
        <v>16</v>
      </c>
      <c r="C92" s="3">
        <v>14</v>
      </c>
      <c r="D92" s="3">
        <v>10</v>
      </c>
      <c r="G92" s="4">
        <v>8</v>
      </c>
      <c r="H92" s="4">
        <v>9</v>
      </c>
      <c r="I92" s="4">
        <v>10</v>
      </c>
      <c r="J92" s="4">
        <v>9</v>
      </c>
      <c r="K92" s="4">
        <v>8</v>
      </c>
      <c r="L92" s="4">
        <v>9</v>
      </c>
      <c r="M92" s="4">
        <v>10</v>
      </c>
      <c r="N92" s="4">
        <v>10</v>
      </c>
      <c r="W92" s="4">
        <v>10</v>
      </c>
      <c r="X92" s="4">
        <v>10</v>
      </c>
      <c r="Y92" s="4">
        <v>10</v>
      </c>
      <c r="Z92" s="4">
        <v>10</v>
      </c>
      <c r="AY92" s="3" t="s">
        <v>17</v>
      </c>
      <c r="BB92" s="3" t="s">
        <v>18</v>
      </c>
      <c r="BC92" s="3" t="s">
        <v>22</v>
      </c>
      <c r="BD92" s="3" t="str">
        <f t="shared" si="3"/>
        <v>Bajo</v>
      </c>
      <c r="BE92" s="3" t="str">
        <f t="shared" si="2"/>
        <v>Se mantuvo igual</v>
      </c>
      <c r="BF92" s="3" t="s">
        <v>32</v>
      </c>
      <c r="BG92" s="3" t="s">
        <v>33</v>
      </c>
      <c r="BH92" s="3" t="s">
        <v>34</v>
      </c>
    </row>
    <row r="93" spans="1:60" x14ac:dyDescent="0.3">
      <c r="A93" s="3" t="s">
        <v>1139</v>
      </c>
      <c r="B93" s="3" t="s">
        <v>16</v>
      </c>
      <c r="C93" s="3">
        <v>14</v>
      </c>
      <c r="D93" s="3">
        <v>8</v>
      </c>
      <c r="G93" s="4">
        <v>6</v>
      </c>
      <c r="H93" s="4">
        <v>7</v>
      </c>
      <c r="I93" s="4">
        <v>10</v>
      </c>
      <c r="J93" s="4">
        <v>10</v>
      </c>
      <c r="K93" s="4">
        <v>6</v>
      </c>
      <c r="L93" s="4">
        <v>6</v>
      </c>
      <c r="M93" s="4">
        <v>6</v>
      </c>
      <c r="N93" s="4">
        <v>6</v>
      </c>
      <c r="W93" s="4">
        <v>8</v>
      </c>
      <c r="X93" s="4">
        <v>8</v>
      </c>
      <c r="Y93" s="4">
        <v>7</v>
      </c>
      <c r="Z93" s="4">
        <v>7</v>
      </c>
      <c r="AY93" s="3" t="s">
        <v>17</v>
      </c>
      <c r="BB93" s="3" t="s">
        <v>18</v>
      </c>
      <c r="BC93" s="3" t="s">
        <v>18</v>
      </c>
      <c r="BD93" s="3" t="str">
        <f t="shared" si="3"/>
        <v>Bajo</v>
      </c>
      <c r="BE93" s="3" t="str">
        <f t="shared" si="2"/>
        <v>Se mantuvo igual</v>
      </c>
      <c r="BF93" s="3" t="s">
        <v>35</v>
      </c>
      <c r="BG93" s="3" t="s">
        <v>36</v>
      </c>
      <c r="BH93" s="3" t="s">
        <v>37</v>
      </c>
    </row>
    <row r="94" spans="1:60" x14ac:dyDescent="0.3">
      <c r="A94" s="3" t="s">
        <v>1139</v>
      </c>
      <c r="B94" s="3" t="s">
        <v>26</v>
      </c>
      <c r="C94" s="3">
        <v>15</v>
      </c>
      <c r="D94" s="3">
        <v>10</v>
      </c>
      <c r="G94" s="4">
        <v>10</v>
      </c>
      <c r="H94" s="4">
        <v>10</v>
      </c>
      <c r="I94" s="4">
        <v>10</v>
      </c>
      <c r="J94" s="4">
        <v>9</v>
      </c>
      <c r="K94" s="4">
        <v>10</v>
      </c>
      <c r="L94" s="4">
        <v>10</v>
      </c>
      <c r="M94" s="4">
        <v>9</v>
      </c>
      <c r="N94" s="4">
        <v>10</v>
      </c>
      <c r="W94" s="4">
        <v>10</v>
      </c>
      <c r="X94" s="4">
        <v>8</v>
      </c>
      <c r="Y94" s="4">
        <v>10</v>
      </c>
      <c r="Z94" s="4">
        <v>10</v>
      </c>
      <c r="AY94" s="3" t="s">
        <v>22</v>
      </c>
      <c r="AZ94" s="3" t="s">
        <v>22</v>
      </c>
      <c r="BA94" s="3" t="s">
        <v>38</v>
      </c>
      <c r="BD94" s="3" t="str">
        <f t="shared" si="3"/>
        <v>Alto</v>
      </c>
      <c r="BE94" s="3" t="str">
        <f t="shared" si="2"/>
        <v>Aumentó</v>
      </c>
      <c r="BF94" s="3" t="s">
        <v>39</v>
      </c>
      <c r="BG94" s="3" t="s">
        <v>40</v>
      </c>
      <c r="BH94" s="3" t="s">
        <v>41</v>
      </c>
    </row>
    <row r="95" spans="1:60" x14ac:dyDescent="0.3">
      <c r="A95" s="3" t="s">
        <v>1139</v>
      </c>
      <c r="B95" s="3" t="s">
        <v>26</v>
      </c>
      <c r="C95" s="3">
        <v>14</v>
      </c>
      <c r="D95" s="3">
        <v>8</v>
      </c>
      <c r="G95" s="4">
        <v>10</v>
      </c>
      <c r="H95" s="4">
        <v>8</v>
      </c>
      <c r="I95" s="4">
        <v>10</v>
      </c>
      <c r="J95" s="4">
        <v>7</v>
      </c>
      <c r="K95" s="4">
        <v>5</v>
      </c>
      <c r="L95" s="4">
        <v>9</v>
      </c>
      <c r="M95" s="4">
        <v>10</v>
      </c>
      <c r="N95" s="4">
        <v>10</v>
      </c>
      <c r="W95" s="4">
        <v>10</v>
      </c>
      <c r="X95" s="4">
        <v>10</v>
      </c>
      <c r="Y95" s="4">
        <v>1</v>
      </c>
      <c r="Z95" s="4">
        <v>1</v>
      </c>
      <c r="AY95" s="3" t="s">
        <v>18</v>
      </c>
      <c r="AZ95" s="3" t="s">
        <v>22</v>
      </c>
      <c r="BD95" s="3" t="str">
        <f t="shared" si="3"/>
        <v>Moderado</v>
      </c>
      <c r="BE95" s="3" t="str">
        <f t="shared" si="2"/>
        <v>Aumentó</v>
      </c>
      <c r="BF95" s="3" t="s">
        <v>42</v>
      </c>
      <c r="BG95" s="3" t="s">
        <v>43</v>
      </c>
      <c r="BH95" s="3" t="s">
        <v>44</v>
      </c>
    </row>
    <row r="96" spans="1:60" x14ac:dyDescent="0.3">
      <c r="A96" s="3" t="s">
        <v>1139</v>
      </c>
      <c r="B96" s="3" t="s">
        <v>26</v>
      </c>
      <c r="C96" s="3">
        <v>14</v>
      </c>
      <c r="D96" s="3">
        <v>10</v>
      </c>
      <c r="G96" s="4">
        <v>5</v>
      </c>
      <c r="H96" s="4">
        <v>6</v>
      </c>
      <c r="I96" s="4">
        <v>10</v>
      </c>
      <c r="J96" s="4">
        <v>10</v>
      </c>
      <c r="K96" s="4">
        <v>10</v>
      </c>
      <c r="L96" s="4">
        <v>10</v>
      </c>
      <c r="M96" s="4">
        <v>10</v>
      </c>
      <c r="N96" s="4">
        <v>10</v>
      </c>
      <c r="W96" s="4">
        <v>10</v>
      </c>
      <c r="X96" s="4">
        <v>10</v>
      </c>
      <c r="Y96" s="4">
        <v>3</v>
      </c>
      <c r="Z96" s="4">
        <v>4</v>
      </c>
      <c r="AY96" s="3" t="s">
        <v>18</v>
      </c>
      <c r="AZ96" s="3" t="s">
        <v>18</v>
      </c>
      <c r="BD96" s="3" t="str">
        <f t="shared" si="3"/>
        <v>Moderado</v>
      </c>
      <c r="BE96" s="3" t="str">
        <f t="shared" si="2"/>
        <v>Se mantuvo igual</v>
      </c>
      <c r="BF96" s="3" t="s">
        <v>45</v>
      </c>
      <c r="BG96" s="3" t="s">
        <v>46</v>
      </c>
      <c r="BH96" s="3" t="s">
        <v>47</v>
      </c>
    </row>
    <row r="97" spans="1:60" x14ac:dyDescent="0.3">
      <c r="A97" s="3" t="s">
        <v>1139</v>
      </c>
      <c r="B97" s="3" t="s">
        <v>26</v>
      </c>
      <c r="C97" s="3">
        <v>14</v>
      </c>
      <c r="D97" s="3">
        <v>10</v>
      </c>
      <c r="G97" s="4">
        <v>5</v>
      </c>
      <c r="H97" s="4">
        <v>5</v>
      </c>
      <c r="I97" s="4">
        <v>10</v>
      </c>
      <c r="J97" s="4">
        <v>10</v>
      </c>
      <c r="K97" s="4">
        <v>10</v>
      </c>
      <c r="L97" s="4">
        <v>10</v>
      </c>
      <c r="M97" s="4">
        <v>10</v>
      </c>
      <c r="N97" s="4">
        <v>10</v>
      </c>
      <c r="W97" s="4">
        <v>10</v>
      </c>
      <c r="X97" s="4">
        <v>10</v>
      </c>
      <c r="Y97" s="4">
        <v>5</v>
      </c>
      <c r="Z97" s="4">
        <v>5</v>
      </c>
      <c r="AY97" s="3" t="s">
        <v>17</v>
      </c>
      <c r="BB97" s="3" t="s">
        <v>17</v>
      </c>
      <c r="BC97" s="3" t="s">
        <v>22</v>
      </c>
      <c r="BD97" s="3" t="str">
        <f t="shared" si="3"/>
        <v>Bajo</v>
      </c>
      <c r="BE97" s="3" t="str">
        <f t="shared" si="2"/>
        <v>Se mantuvo igual</v>
      </c>
      <c r="BF97" s="3" t="s">
        <v>48</v>
      </c>
      <c r="BG97" s="3" t="s">
        <v>49</v>
      </c>
      <c r="BH97" s="3" t="s">
        <v>50</v>
      </c>
    </row>
    <row r="98" spans="1:60" x14ac:dyDescent="0.3">
      <c r="A98" s="3" t="s">
        <v>1139</v>
      </c>
      <c r="B98" s="3" t="s">
        <v>26</v>
      </c>
      <c r="C98" s="3">
        <v>14</v>
      </c>
      <c r="D98" s="3">
        <v>8</v>
      </c>
      <c r="G98" s="4">
        <v>5</v>
      </c>
      <c r="H98" s="4">
        <v>8</v>
      </c>
      <c r="I98" s="4">
        <v>9</v>
      </c>
      <c r="J98" s="4">
        <v>10</v>
      </c>
      <c r="K98" s="4">
        <v>10</v>
      </c>
      <c r="L98" s="4">
        <v>9</v>
      </c>
      <c r="M98" s="4">
        <v>10</v>
      </c>
      <c r="N98" s="4">
        <v>9</v>
      </c>
      <c r="W98" s="4">
        <v>10</v>
      </c>
      <c r="X98" s="4">
        <v>10</v>
      </c>
      <c r="Y98" s="4">
        <v>7</v>
      </c>
      <c r="Z98" s="4">
        <v>9</v>
      </c>
      <c r="AY98" s="3" t="s">
        <v>17</v>
      </c>
      <c r="BB98" s="3" t="s">
        <v>22</v>
      </c>
      <c r="BC98" s="3" t="s">
        <v>22</v>
      </c>
      <c r="BD98" s="3" t="str">
        <f t="shared" si="3"/>
        <v>Bajo</v>
      </c>
      <c r="BE98" s="3" t="str">
        <f t="shared" si="2"/>
        <v>Se mantuvo igual</v>
      </c>
      <c r="BF98" s="3" t="s">
        <v>51</v>
      </c>
      <c r="BG98" s="3" t="s">
        <v>52</v>
      </c>
      <c r="BH98" s="3" t="s">
        <v>53</v>
      </c>
    </row>
    <row r="99" spans="1:60" x14ac:dyDescent="0.3">
      <c r="A99" s="3" t="s">
        <v>1139</v>
      </c>
      <c r="B99" s="3" t="s">
        <v>26</v>
      </c>
      <c r="C99" s="3">
        <v>15</v>
      </c>
      <c r="D99" s="3">
        <v>10</v>
      </c>
      <c r="G99" s="4">
        <v>5</v>
      </c>
      <c r="H99" s="4">
        <v>8</v>
      </c>
      <c r="I99" s="4">
        <v>10</v>
      </c>
      <c r="J99" s="4">
        <v>10</v>
      </c>
      <c r="K99" s="4">
        <v>10</v>
      </c>
      <c r="L99" s="4">
        <v>10</v>
      </c>
      <c r="M99" s="4">
        <v>10</v>
      </c>
      <c r="N99" s="4">
        <v>10</v>
      </c>
      <c r="W99" s="4">
        <v>10</v>
      </c>
      <c r="X99" s="4">
        <v>10</v>
      </c>
      <c r="Y99" s="4">
        <v>5</v>
      </c>
      <c r="Z99" s="4">
        <v>5</v>
      </c>
      <c r="AY99" s="3" t="s">
        <v>18</v>
      </c>
      <c r="AZ99" s="3" t="s">
        <v>18</v>
      </c>
      <c r="BD99" s="3" t="str">
        <f t="shared" si="3"/>
        <v>Moderado</v>
      </c>
      <c r="BE99" s="3" t="str">
        <f t="shared" si="2"/>
        <v>Se mantuvo igual</v>
      </c>
      <c r="BF99" s="3" t="s">
        <v>48</v>
      </c>
      <c r="BG99" s="3" t="s">
        <v>31</v>
      </c>
      <c r="BH99" s="3" t="s">
        <v>31</v>
      </c>
    </row>
    <row r="100" spans="1:60" x14ac:dyDescent="0.3">
      <c r="A100" s="3" t="s">
        <v>1139</v>
      </c>
      <c r="B100" s="3" t="s">
        <v>26</v>
      </c>
      <c r="C100" s="3">
        <v>14</v>
      </c>
      <c r="D100" s="3">
        <v>8</v>
      </c>
      <c r="G100" s="4">
        <v>5</v>
      </c>
      <c r="H100" s="4">
        <v>8</v>
      </c>
      <c r="I100" s="4">
        <v>8</v>
      </c>
      <c r="J100" s="4">
        <v>8</v>
      </c>
      <c r="K100" s="4">
        <v>10</v>
      </c>
      <c r="L100" s="4">
        <v>10</v>
      </c>
      <c r="M100" s="4">
        <v>10</v>
      </c>
      <c r="N100" s="4">
        <v>8</v>
      </c>
      <c r="W100" s="4">
        <v>8</v>
      </c>
      <c r="X100" s="4">
        <v>5</v>
      </c>
      <c r="Y100" s="4">
        <v>8</v>
      </c>
      <c r="Z100" s="4">
        <v>5</v>
      </c>
      <c r="AY100" s="3" t="s">
        <v>17</v>
      </c>
      <c r="BB100" s="3" t="s">
        <v>17</v>
      </c>
      <c r="BC100" s="3" t="s">
        <v>22</v>
      </c>
      <c r="BD100" s="3" t="str">
        <f t="shared" si="3"/>
        <v>Bajo</v>
      </c>
      <c r="BE100" s="3" t="str">
        <f t="shared" si="2"/>
        <v>Se mantuvo igual</v>
      </c>
      <c r="BF100" s="3" t="s">
        <v>54</v>
      </c>
      <c r="BG100" s="3" t="s">
        <v>55</v>
      </c>
      <c r="BH100" s="3" t="s">
        <v>56</v>
      </c>
    </row>
    <row r="101" spans="1:60" x14ac:dyDescent="0.3">
      <c r="A101" s="3" t="s">
        <v>1139</v>
      </c>
      <c r="B101" s="3" t="s">
        <v>26</v>
      </c>
      <c r="C101" s="3">
        <v>16</v>
      </c>
      <c r="D101" s="3">
        <v>10</v>
      </c>
      <c r="G101" s="4">
        <v>9</v>
      </c>
      <c r="H101" s="4">
        <v>9</v>
      </c>
      <c r="I101" s="4">
        <v>9</v>
      </c>
      <c r="J101" s="4">
        <v>9</v>
      </c>
      <c r="K101" s="4">
        <v>10</v>
      </c>
      <c r="L101" s="4">
        <v>10</v>
      </c>
      <c r="M101" s="4">
        <v>8</v>
      </c>
      <c r="N101" s="4">
        <v>9</v>
      </c>
      <c r="W101" s="4">
        <v>7</v>
      </c>
      <c r="X101" s="4">
        <v>8</v>
      </c>
      <c r="Y101" s="4">
        <v>8</v>
      </c>
      <c r="Z101" s="4">
        <v>8</v>
      </c>
      <c r="AY101" s="3" t="s">
        <v>22</v>
      </c>
      <c r="AZ101" s="3" t="s">
        <v>22</v>
      </c>
      <c r="BD101" s="3" t="str">
        <f t="shared" si="3"/>
        <v>Alto</v>
      </c>
      <c r="BE101" s="3" t="str">
        <f t="shared" si="2"/>
        <v>Aumentó</v>
      </c>
      <c r="BF101" s="3" t="s">
        <v>57</v>
      </c>
      <c r="BG101" s="3" t="s">
        <v>58</v>
      </c>
      <c r="BH101" s="3" t="s">
        <v>59</v>
      </c>
    </row>
    <row r="102" spans="1:60" x14ac:dyDescent="0.3">
      <c r="A102" s="3" t="s">
        <v>1139</v>
      </c>
      <c r="B102" s="3" t="s">
        <v>26</v>
      </c>
      <c r="C102" s="3">
        <v>15</v>
      </c>
      <c r="D102" s="3">
        <v>10</v>
      </c>
      <c r="G102" s="4">
        <v>10</v>
      </c>
      <c r="H102" s="4">
        <v>10</v>
      </c>
      <c r="I102" s="4">
        <v>10</v>
      </c>
      <c r="J102" s="4">
        <v>10</v>
      </c>
      <c r="K102" s="4">
        <v>10</v>
      </c>
      <c r="L102" s="4">
        <v>10</v>
      </c>
      <c r="M102" s="4">
        <v>10</v>
      </c>
      <c r="N102" s="4">
        <v>10</v>
      </c>
      <c r="W102" s="4">
        <v>10</v>
      </c>
      <c r="X102" s="4">
        <v>10</v>
      </c>
      <c r="Y102" s="4">
        <v>10</v>
      </c>
      <c r="Z102" s="4">
        <v>10</v>
      </c>
      <c r="AY102" s="3" t="s">
        <v>18</v>
      </c>
      <c r="AZ102" s="3" t="s">
        <v>18</v>
      </c>
      <c r="BA102" s="3" t="s">
        <v>31</v>
      </c>
      <c r="BD102" s="3" t="str">
        <f t="shared" si="3"/>
        <v>Moderado</v>
      </c>
      <c r="BE102" s="3" t="str">
        <f t="shared" si="2"/>
        <v>Se mantuvo igual</v>
      </c>
      <c r="BF102" s="3" t="s">
        <v>60</v>
      </c>
      <c r="BG102" s="3" t="s">
        <v>61</v>
      </c>
    </row>
    <row r="103" spans="1:60" x14ac:dyDescent="0.3">
      <c r="A103" s="3" t="s">
        <v>1139</v>
      </c>
      <c r="B103" s="3" t="s">
        <v>16</v>
      </c>
      <c r="C103" s="3">
        <v>14</v>
      </c>
      <c r="D103" s="3">
        <v>10</v>
      </c>
      <c r="G103" s="4">
        <v>6</v>
      </c>
      <c r="H103" s="4">
        <v>5</v>
      </c>
      <c r="I103" s="4">
        <v>8</v>
      </c>
      <c r="J103" s="4">
        <v>7</v>
      </c>
      <c r="K103" s="4">
        <v>10</v>
      </c>
      <c r="L103" s="4">
        <v>10</v>
      </c>
      <c r="M103" s="4">
        <v>10</v>
      </c>
      <c r="N103" s="4">
        <v>10</v>
      </c>
      <c r="W103" s="4">
        <v>10</v>
      </c>
      <c r="X103" s="4">
        <v>10</v>
      </c>
      <c r="Y103" s="4">
        <v>5</v>
      </c>
      <c r="Z103" s="4">
        <v>5</v>
      </c>
      <c r="AY103" s="3" t="s">
        <v>18</v>
      </c>
      <c r="AZ103" s="3" t="s">
        <v>18</v>
      </c>
      <c r="BD103" s="3" t="str">
        <f t="shared" si="3"/>
        <v>Moderado</v>
      </c>
      <c r="BE103" s="3" t="str">
        <f t="shared" si="2"/>
        <v>Se mantuvo igual</v>
      </c>
      <c r="BF103" s="3" t="s">
        <v>62</v>
      </c>
      <c r="BG103" s="3" t="s">
        <v>28</v>
      </c>
      <c r="BH103" s="3" t="s">
        <v>28</v>
      </c>
    </row>
    <row r="104" spans="1:60" x14ac:dyDescent="0.3">
      <c r="A104" s="3" t="s">
        <v>1139</v>
      </c>
      <c r="B104" s="3" t="s">
        <v>26</v>
      </c>
      <c r="C104" s="3">
        <v>15</v>
      </c>
      <c r="D104" s="3">
        <v>9</v>
      </c>
      <c r="G104" s="4">
        <v>10</v>
      </c>
      <c r="H104" s="4">
        <v>10</v>
      </c>
      <c r="I104" s="4">
        <v>9</v>
      </c>
      <c r="J104" s="4">
        <v>9</v>
      </c>
      <c r="K104" s="4">
        <v>10</v>
      </c>
      <c r="L104" s="4">
        <v>10</v>
      </c>
      <c r="M104" s="4">
        <v>10</v>
      </c>
      <c r="N104" s="4">
        <v>10</v>
      </c>
      <c r="W104" s="4">
        <v>10</v>
      </c>
      <c r="X104" s="4">
        <v>10</v>
      </c>
      <c r="Y104" s="4">
        <v>10</v>
      </c>
      <c r="Z104" s="4">
        <v>10</v>
      </c>
      <c r="AY104" s="3" t="s">
        <v>17</v>
      </c>
      <c r="BB104" s="3" t="s">
        <v>18</v>
      </c>
      <c r="BC104" s="3" t="s">
        <v>22</v>
      </c>
      <c r="BD104" s="3" t="str">
        <f t="shared" si="3"/>
        <v>Bajo</v>
      </c>
      <c r="BE104" s="3" t="str">
        <f t="shared" si="2"/>
        <v>Se mantuvo igual</v>
      </c>
      <c r="BF104" s="3" t="s">
        <v>63</v>
      </c>
      <c r="BG104" s="3" t="s">
        <v>64</v>
      </c>
      <c r="BH104" s="3" t="s">
        <v>65</v>
      </c>
    </row>
    <row r="105" spans="1:60" x14ac:dyDescent="0.3">
      <c r="A105" s="3" t="s">
        <v>1139</v>
      </c>
      <c r="B105" s="3" t="s">
        <v>16</v>
      </c>
      <c r="C105" s="3">
        <v>14</v>
      </c>
      <c r="D105" s="3">
        <v>9</v>
      </c>
      <c r="G105" s="4">
        <v>8</v>
      </c>
      <c r="H105" s="4">
        <v>6</v>
      </c>
      <c r="I105" s="4">
        <v>10</v>
      </c>
      <c r="J105" s="4">
        <v>10</v>
      </c>
      <c r="K105" s="4">
        <v>9</v>
      </c>
      <c r="L105" s="4">
        <v>9</v>
      </c>
      <c r="M105" s="4">
        <v>8</v>
      </c>
      <c r="N105" s="4">
        <v>8</v>
      </c>
      <c r="W105" s="4">
        <v>10</v>
      </c>
      <c r="X105" s="4">
        <v>10</v>
      </c>
      <c r="Y105" s="4">
        <v>10</v>
      </c>
      <c r="Z105" s="4">
        <v>10</v>
      </c>
      <c r="AY105" s="3" t="s">
        <v>17</v>
      </c>
      <c r="BB105" s="3" t="s">
        <v>18</v>
      </c>
      <c r="BC105" s="3" t="s">
        <v>18</v>
      </c>
      <c r="BD105" s="3" t="str">
        <f t="shared" si="3"/>
        <v>Bajo</v>
      </c>
      <c r="BE105" s="3" t="str">
        <f t="shared" si="2"/>
        <v>Se mantuvo igual</v>
      </c>
      <c r="BF105" s="3" t="s">
        <v>66</v>
      </c>
      <c r="BG105" s="3" t="s">
        <v>67</v>
      </c>
      <c r="BH105" s="3" t="s">
        <v>68</v>
      </c>
    </row>
    <row r="106" spans="1:60" x14ac:dyDescent="0.3">
      <c r="A106" s="3" t="s">
        <v>1139</v>
      </c>
      <c r="B106" s="3" t="s">
        <v>26</v>
      </c>
      <c r="C106" s="3">
        <v>15</v>
      </c>
      <c r="D106" s="3">
        <v>10</v>
      </c>
      <c r="G106" s="4">
        <v>8</v>
      </c>
      <c r="H106" s="4">
        <v>8</v>
      </c>
      <c r="I106" s="4">
        <v>9</v>
      </c>
      <c r="J106" s="4">
        <v>9</v>
      </c>
      <c r="K106" s="4">
        <v>10</v>
      </c>
      <c r="L106" s="4">
        <v>10</v>
      </c>
      <c r="M106" s="4">
        <v>8</v>
      </c>
      <c r="N106" s="4">
        <v>8</v>
      </c>
      <c r="W106" s="4">
        <v>10</v>
      </c>
      <c r="X106" s="4">
        <v>10</v>
      </c>
      <c r="Y106" s="4">
        <v>7</v>
      </c>
      <c r="Z106" s="4">
        <v>7</v>
      </c>
      <c r="AY106" s="3" t="s">
        <v>22</v>
      </c>
      <c r="AZ106" s="3" t="s">
        <v>22</v>
      </c>
      <c r="BD106" s="3" t="str">
        <f t="shared" si="3"/>
        <v>Alto</v>
      </c>
      <c r="BE106" s="3" t="str">
        <f t="shared" si="2"/>
        <v>Aumentó</v>
      </c>
      <c r="BF106" s="3" t="s">
        <v>69</v>
      </c>
      <c r="BG106" s="3" t="s">
        <v>70</v>
      </c>
      <c r="BH106" s="3" t="s">
        <v>71</v>
      </c>
    </row>
    <row r="107" spans="1:60" x14ac:dyDescent="0.3">
      <c r="A107" s="3" t="s">
        <v>1139</v>
      </c>
      <c r="B107" s="3" t="s">
        <v>16</v>
      </c>
      <c r="C107" s="3">
        <v>15</v>
      </c>
      <c r="D107" s="3">
        <v>9</v>
      </c>
      <c r="G107" s="4">
        <v>8</v>
      </c>
      <c r="H107" s="4">
        <v>7</v>
      </c>
      <c r="I107" s="4">
        <v>10</v>
      </c>
      <c r="J107" s="4">
        <v>10</v>
      </c>
      <c r="K107" s="4">
        <v>10</v>
      </c>
      <c r="L107" s="4">
        <v>10</v>
      </c>
      <c r="M107" s="4">
        <v>10</v>
      </c>
      <c r="N107" s="4">
        <v>10</v>
      </c>
      <c r="W107" s="4">
        <v>9</v>
      </c>
      <c r="X107" s="4">
        <v>9</v>
      </c>
      <c r="Y107" s="4">
        <v>9</v>
      </c>
      <c r="Z107" s="4">
        <v>9</v>
      </c>
      <c r="AY107" s="3" t="s">
        <v>17</v>
      </c>
      <c r="BB107" s="3" t="s">
        <v>18</v>
      </c>
      <c r="BC107" s="3" t="s">
        <v>17</v>
      </c>
      <c r="BD107" s="3" t="str">
        <f t="shared" si="3"/>
        <v>Bajo</v>
      </c>
      <c r="BE107" s="3" t="str">
        <f t="shared" si="2"/>
        <v>Se mantuvo igual</v>
      </c>
      <c r="BF107" s="3" t="s">
        <v>72</v>
      </c>
      <c r="BG107" s="3" t="s">
        <v>73</v>
      </c>
    </row>
    <row r="108" spans="1:60" x14ac:dyDescent="0.3">
      <c r="A108" s="3" t="s">
        <v>1139</v>
      </c>
      <c r="B108" s="3" t="s">
        <v>16</v>
      </c>
      <c r="C108" s="3">
        <v>15</v>
      </c>
      <c r="D108" s="3">
        <v>10</v>
      </c>
      <c r="G108" s="4">
        <v>7</v>
      </c>
      <c r="H108" s="4">
        <v>8</v>
      </c>
      <c r="I108" s="4">
        <v>7</v>
      </c>
      <c r="J108" s="4">
        <v>7</v>
      </c>
      <c r="K108" s="4">
        <v>10</v>
      </c>
      <c r="L108" s="4">
        <v>10</v>
      </c>
      <c r="M108" s="4">
        <v>10</v>
      </c>
      <c r="N108" s="4">
        <v>10</v>
      </c>
      <c r="W108" s="4">
        <v>10</v>
      </c>
      <c r="X108" s="4">
        <v>10</v>
      </c>
      <c r="Y108" s="4">
        <v>4</v>
      </c>
      <c r="Z108" s="4">
        <v>5</v>
      </c>
      <c r="AY108" s="3" t="s">
        <v>18</v>
      </c>
      <c r="AZ108" s="3" t="s">
        <v>22</v>
      </c>
      <c r="BD108" s="3" t="str">
        <f t="shared" si="3"/>
        <v>Moderado</v>
      </c>
      <c r="BE108" s="3" t="str">
        <f t="shared" si="2"/>
        <v>Aumentó</v>
      </c>
      <c r="BF108" s="3" t="s">
        <v>74</v>
      </c>
      <c r="BG108" s="3" t="s">
        <v>75</v>
      </c>
      <c r="BH108" s="3" t="s">
        <v>76</v>
      </c>
    </row>
    <row r="109" spans="1:60" x14ac:dyDescent="0.3">
      <c r="A109" s="3" t="s">
        <v>1139</v>
      </c>
      <c r="B109" s="3" t="s">
        <v>16</v>
      </c>
      <c r="C109" s="3">
        <v>15</v>
      </c>
      <c r="D109" s="3">
        <v>10</v>
      </c>
      <c r="G109" s="4">
        <v>10</v>
      </c>
      <c r="H109" s="4">
        <v>10</v>
      </c>
      <c r="I109" s="4">
        <v>10</v>
      </c>
      <c r="J109" s="4">
        <v>10</v>
      </c>
      <c r="K109" s="4">
        <v>10</v>
      </c>
      <c r="L109" s="4">
        <v>10</v>
      </c>
      <c r="M109" s="4">
        <v>10</v>
      </c>
      <c r="N109" s="4">
        <v>10</v>
      </c>
      <c r="W109" s="4">
        <v>10</v>
      </c>
      <c r="X109" s="4">
        <v>10</v>
      </c>
      <c r="Y109" s="4">
        <v>10</v>
      </c>
      <c r="Z109" s="4">
        <v>10</v>
      </c>
      <c r="AY109" s="3" t="s">
        <v>17</v>
      </c>
      <c r="BB109" s="3" t="s">
        <v>17</v>
      </c>
      <c r="BC109" s="3" t="s">
        <v>22</v>
      </c>
      <c r="BD109" s="3" t="str">
        <f t="shared" si="3"/>
        <v>Bajo</v>
      </c>
      <c r="BE109" s="3" t="str">
        <f t="shared" si="2"/>
        <v>Se mantuvo igual</v>
      </c>
      <c r="BF109" s="3" t="s">
        <v>77</v>
      </c>
      <c r="BG109" s="3" t="s">
        <v>78</v>
      </c>
      <c r="BH109" s="3" t="s">
        <v>79</v>
      </c>
    </row>
    <row r="110" spans="1:60" x14ac:dyDescent="0.3">
      <c r="A110" s="3" t="s">
        <v>1139</v>
      </c>
      <c r="B110" s="3" t="s">
        <v>26</v>
      </c>
      <c r="C110" s="3">
        <v>14</v>
      </c>
      <c r="D110" s="3">
        <v>9</v>
      </c>
      <c r="G110" s="4">
        <v>9</v>
      </c>
      <c r="H110" s="4">
        <v>8</v>
      </c>
      <c r="I110" s="4">
        <v>8</v>
      </c>
      <c r="J110" s="4">
        <v>9</v>
      </c>
      <c r="K110" s="4">
        <v>10</v>
      </c>
      <c r="L110" s="4">
        <v>10</v>
      </c>
      <c r="M110" s="4">
        <v>7</v>
      </c>
      <c r="N110" s="4">
        <v>10</v>
      </c>
      <c r="W110" s="4">
        <v>10</v>
      </c>
      <c r="X110" s="4">
        <v>10</v>
      </c>
      <c r="Y110" s="4">
        <v>7</v>
      </c>
      <c r="Z110" s="4">
        <v>10</v>
      </c>
      <c r="AY110" s="3" t="s">
        <v>18</v>
      </c>
      <c r="AZ110" s="3" t="s">
        <v>22</v>
      </c>
      <c r="BA110" s="3" t="s">
        <v>80</v>
      </c>
      <c r="BD110" s="3" t="str">
        <f t="shared" si="3"/>
        <v>Moderado</v>
      </c>
      <c r="BE110" s="3" t="str">
        <f t="shared" si="2"/>
        <v>Aumentó</v>
      </c>
      <c r="BF110" s="3" t="s">
        <v>81</v>
      </c>
      <c r="BG110" s="3" t="s">
        <v>82</v>
      </c>
      <c r="BH110" s="3" t="s">
        <v>56</v>
      </c>
    </row>
    <row r="111" spans="1:60" x14ac:dyDescent="0.3">
      <c r="A111" s="3" t="s">
        <v>1139</v>
      </c>
      <c r="B111" s="3" t="s">
        <v>16</v>
      </c>
      <c r="C111" s="3">
        <v>15</v>
      </c>
      <c r="D111" s="3">
        <v>10</v>
      </c>
      <c r="G111" s="4">
        <v>8</v>
      </c>
      <c r="H111" s="4">
        <v>9</v>
      </c>
      <c r="I111" s="4">
        <v>8</v>
      </c>
      <c r="J111" s="4">
        <v>8</v>
      </c>
      <c r="K111" s="4">
        <v>7</v>
      </c>
      <c r="L111" s="4">
        <v>8</v>
      </c>
      <c r="M111" s="4">
        <v>6</v>
      </c>
      <c r="N111" s="4">
        <v>8</v>
      </c>
      <c r="W111" s="4">
        <v>10</v>
      </c>
      <c r="X111" s="4">
        <v>10</v>
      </c>
      <c r="Y111" s="4">
        <v>9</v>
      </c>
      <c r="Z111" s="4">
        <v>9</v>
      </c>
      <c r="AY111" s="3" t="s">
        <v>17</v>
      </c>
      <c r="BB111" s="3" t="s">
        <v>18</v>
      </c>
      <c r="BC111" s="3" t="s">
        <v>22</v>
      </c>
      <c r="BD111" s="3" t="str">
        <f t="shared" si="3"/>
        <v>Bajo</v>
      </c>
      <c r="BE111" s="3" t="str">
        <f t="shared" si="2"/>
        <v>Se mantuvo igual</v>
      </c>
      <c r="BF111" s="3" t="s">
        <v>83</v>
      </c>
      <c r="BG111" s="3" t="s">
        <v>84</v>
      </c>
      <c r="BH111" s="3" t="s">
        <v>85</v>
      </c>
    </row>
    <row r="112" spans="1:60" x14ac:dyDescent="0.3">
      <c r="A112" s="3" t="s">
        <v>1139</v>
      </c>
      <c r="B112" s="3" t="s">
        <v>26</v>
      </c>
      <c r="C112" s="3">
        <v>14</v>
      </c>
      <c r="D112" s="3">
        <v>7</v>
      </c>
      <c r="G112" s="4">
        <v>7</v>
      </c>
      <c r="H112" s="4">
        <v>8</v>
      </c>
      <c r="I112" s="4">
        <v>9</v>
      </c>
      <c r="J112" s="4">
        <v>10</v>
      </c>
      <c r="K112" s="4">
        <v>4</v>
      </c>
      <c r="L112" s="4">
        <v>6</v>
      </c>
      <c r="M112" s="4">
        <v>9</v>
      </c>
      <c r="N112" s="4">
        <v>9</v>
      </c>
      <c r="W112" s="4">
        <v>5</v>
      </c>
      <c r="X112" s="4">
        <v>5</v>
      </c>
      <c r="Y112" s="4">
        <v>10</v>
      </c>
      <c r="Z112" s="4">
        <v>8</v>
      </c>
      <c r="AY112" s="3" t="s">
        <v>18</v>
      </c>
      <c r="AZ112" s="3" t="s">
        <v>18</v>
      </c>
      <c r="BD112" s="3" t="str">
        <f t="shared" si="3"/>
        <v>Moderado</v>
      </c>
      <c r="BE112" s="3" t="str">
        <f t="shared" si="2"/>
        <v>Se mantuvo igual</v>
      </c>
      <c r="BF112" s="3" t="s">
        <v>86</v>
      </c>
      <c r="BG112" s="3" t="s">
        <v>87</v>
      </c>
      <c r="BH112" s="3" t="s">
        <v>88</v>
      </c>
    </row>
    <row r="113" spans="1:60" x14ac:dyDescent="0.3">
      <c r="A113" s="3" t="s">
        <v>1139</v>
      </c>
      <c r="B113" s="3" t="s">
        <v>16</v>
      </c>
      <c r="C113" s="3">
        <v>14</v>
      </c>
      <c r="D113" s="3">
        <v>10</v>
      </c>
      <c r="G113" s="4">
        <v>8</v>
      </c>
      <c r="H113" s="4">
        <v>8</v>
      </c>
      <c r="I113" s="4">
        <v>9</v>
      </c>
      <c r="J113" s="4">
        <v>9</v>
      </c>
      <c r="K113" s="4">
        <v>10</v>
      </c>
      <c r="L113" s="4">
        <v>9</v>
      </c>
      <c r="M113" s="4">
        <v>10</v>
      </c>
      <c r="N113" s="4">
        <v>9</v>
      </c>
      <c r="W113" s="4">
        <v>10</v>
      </c>
      <c r="X113" s="4">
        <v>10</v>
      </c>
      <c r="Y113" s="4">
        <v>9</v>
      </c>
      <c r="Z113" s="4">
        <v>8</v>
      </c>
      <c r="AY113" s="3" t="s">
        <v>22</v>
      </c>
      <c r="AZ113" s="3" t="s">
        <v>22</v>
      </c>
      <c r="BD113" s="3" t="str">
        <f t="shared" si="3"/>
        <v>Alto</v>
      </c>
      <c r="BE113" s="3" t="str">
        <f t="shared" si="2"/>
        <v>Aumentó</v>
      </c>
      <c r="BF113" s="3" t="s">
        <v>89</v>
      </c>
      <c r="BG113" s="3" t="s">
        <v>90</v>
      </c>
      <c r="BH113" s="3" t="s">
        <v>91</v>
      </c>
    </row>
    <row r="114" spans="1:60" x14ac:dyDescent="0.3">
      <c r="A114" s="3" t="s">
        <v>1139</v>
      </c>
      <c r="B114" s="3" t="s">
        <v>26</v>
      </c>
      <c r="C114" s="3">
        <v>15</v>
      </c>
      <c r="D114" s="3">
        <v>9</v>
      </c>
      <c r="G114" s="4">
        <v>8</v>
      </c>
      <c r="H114" s="4">
        <v>8</v>
      </c>
      <c r="I114" s="4">
        <v>10</v>
      </c>
      <c r="J114" s="4">
        <v>10</v>
      </c>
      <c r="K114" s="4">
        <v>10</v>
      </c>
      <c r="L114" s="4">
        <v>10</v>
      </c>
      <c r="M114" s="4">
        <v>9</v>
      </c>
      <c r="N114" s="4">
        <v>9</v>
      </c>
      <c r="W114" s="4">
        <v>10</v>
      </c>
      <c r="X114" s="4">
        <v>10</v>
      </c>
      <c r="Y114" s="4">
        <v>9</v>
      </c>
      <c r="Z114" s="4">
        <v>9</v>
      </c>
      <c r="AY114" s="3" t="s">
        <v>18</v>
      </c>
      <c r="AZ114" s="3" t="s">
        <v>18</v>
      </c>
      <c r="BD114" s="3" t="str">
        <f t="shared" si="3"/>
        <v>Moderado</v>
      </c>
      <c r="BE114" s="3" t="str">
        <f t="shared" si="2"/>
        <v>Se mantuvo igual</v>
      </c>
      <c r="BF114" s="3" t="s">
        <v>92</v>
      </c>
      <c r="BG114" s="3" t="s">
        <v>93</v>
      </c>
      <c r="BH114" s="3" t="s">
        <v>94</v>
      </c>
    </row>
    <row r="115" spans="1:60" x14ac:dyDescent="0.3">
      <c r="A115" s="3" t="s">
        <v>1139</v>
      </c>
      <c r="B115" s="3" t="s">
        <v>16</v>
      </c>
      <c r="C115" s="3">
        <v>15</v>
      </c>
      <c r="D115" s="3">
        <v>10</v>
      </c>
      <c r="G115" s="4">
        <v>8</v>
      </c>
      <c r="H115" s="4">
        <v>9</v>
      </c>
      <c r="I115" s="4">
        <v>10</v>
      </c>
      <c r="J115" s="4">
        <v>10</v>
      </c>
      <c r="K115" s="4">
        <v>9</v>
      </c>
      <c r="L115" s="4">
        <v>9</v>
      </c>
      <c r="M115" s="4">
        <v>10</v>
      </c>
      <c r="N115" s="4">
        <v>10</v>
      </c>
      <c r="W115" s="4">
        <v>10</v>
      </c>
      <c r="X115" s="4">
        <v>10</v>
      </c>
      <c r="Y115" s="4">
        <v>10</v>
      </c>
      <c r="Z115" s="4">
        <v>10</v>
      </c>
      <c r="AY115" s="3" t="s">
        <v>18</v>
      </c>
      <c r="AZ115" s="3" t="s">
        <v>18</v>
      </c>
      <c r="BD115" s="3" t="str">
        <f t="shared" si="3"/>
        <v>Moderado</v>
      </c>
      <c r="BE115" s="3" t="str">
        <f t="shared" si="2"/>
        <v>Se mantuvo igual</v>
      </c>
      <c r="BF115" s="3" t="s">
        <v>95</v>
      </c>
      <c r="BG115" s="3" t="s">
        <v>73</v>
      </c>
      <c r="BH115" s="3" t="s">
        <v>94</v>
      </c>
    </row>
    <row r="116" spans="1:60" x14ac:dyDescent="0.3">
      <c r="A116" s="3" t="s">
        <v>1139</v>
      </c>
      <c r="B116" s="3" t="s">
        <v>16</v>
      </c>
      <c r="C116" s="3">
        <v>14</v>
      </c>
      <c r="D116" s="3">
        <v>10</v>
      </c>
      <c r="G116" s="4">
        <v>5</v>
      </c>
      <c r="H116" s="4">
        <v>8</v>
      </c>
      <c r="I116" s="4">
        <v>8</v>
      </c>
      <c r="J116" s="4">
        <v>9</v>
      </c>
      <c r="K116" s="4">
        <v>10</v>
      </c>
      <c r="L116" s="4">
        <v>10</v>
      </c>
      <c r="M116" s="4">
        <v>10</v>
      </c>
      <c r="N116" s="4">
        <v>10</v>
      </c>
      <c r="W116" s="4">
        <v>10</v>
      </c>
      <c r="X116" s="4">
        <v>9</v>
      </c>
      <c r="Y116" s="4">
        <v>4</v>
      </c>
      <c r="Z116" s="4">
        <v>6</v>
      </c>
      <c r="AY116" s="3" t="s">
        <v>17</v>
      </c>
      <c r="BB116" s="3" t="s">
        <v>18</v>
      </c>
      <c r="BC116" s="3" t="s">
        <v>22</v>
      </c>
      <c r="BD116" s="3" t="str">
        <f t="shared" si="3"/>
        <v>Bajo</v>
      </c>
      <c r="BE116" s="3" t="str">
        <f t="shared" si="2"/>
        <v>Se mantuvo igual</v>
      </c>
      <c r="BF116" s="3" t="s">
        <v>96</v>
      </c>
      <c r="BG116" s="3" t="s">
        <v>97</v>
      </c>
      <c r="BH116" s="3" t="s">
        <v>97</v>
      </c>
    </row>
    <row r="117" spans="1:60" x14ac:dyDescent="0.3">
      <c r="A117" s="3" t="s">
        <v>1139</v>
      </c>
      <c r="B117" s="3" t="s">
        <v>26</v>
      </c>
      <c r="C117" s="3">
        <v>14</v>
      </c>
      <c r="D117" s="3">
        <v>10</v>
      </c>
      <c r="G117" s="4">
        <v>7</v>
      </c>
      <c r="H117" s="4">
        <v>8</v>
      </c>
      <c r="I117" s="4">
        <v>7</v>
      </c>
      <c r="J117" s="4">
        <v>8</v>
      </c>
      <c r="K117" s="4">
        <v>10</v>
      </c>
      <c r="L117" s="4">
        <v>10</v>
      </c>
      <c r="M117" s="4">
        <v>9</v>
      </c>
      <c r="N117" s="4">
        <v>9</v>
      </c>
      <c r="W117" s="4">
        <v>9</v>
      </c>
      <c r="X117" s="4">
        <v>8</v>
      </c>
      <c r="Y117" s="4">
        <v>9</v>
      </c>
      <c r="Z117" s="4">
        <v>9</v>
      </c>
      <c r="AY117" s="3" t="s">
        <v>18</v>
      </c>
      <c r="AZ117" s="3" t="s">
        <v>18</v>
      </c>
      <c r="BD117" s="3" t="str">
        <f t="shared" si="3"/>
        <v>Moderado</v>
      </c>
      <c r="BE117" s="3" t="str">
        <f t="shared" si="2"/>
        <v>Se mantuvo igual</v>
      </c>
      <c r="BF117" s="3" t="s">
        <v>98</v>
      </c>
      <c r="BG117" s="3" t="s">
        <v>25</v>
      </c>
      <c r="BH117" s="3" t="s">
        <v>99</v>
      </c>
    </row>
    <row r="118" spans="1:60" x14ac:dyDescent="0.3">
      <c r="A118" s="3" t="s">
        <v>1139</v>
      </c>
      <c r="B118" s="3" t="s">
        <v>26</v>
      </c>
      <c r="C118" s="3">
        <v>14</v>
      </c>
      <c r="D118" s="3">
        <v>7</v>
      </c>
      <c r="G118" s="4">
        <v>5</v>
      </c>
      <c r="H118" s="4">
        <v>10</v>
      </c>
      <c r="I118" s="4">
        <v>8</v>
      </c>
      <c r="J118" s="4">
        <v>8</v>
      </c>
      <c r="K118" s="4">
        <v>6</v>
      </c>
      <c r="L118" s="4">
        <v>6</v>
      </c>
      <c r="M118" s="4">
        <v>5</v>
      </c>
      <c r="N118" s="4">
        <v>5</v>
      </c>
      <c r="W118" s="4">
        <v>7</v>
      </c>
      <c r="X118" s="4">
        <v>9</v>
      </c>
      <c r="Y118" s="4">
        <v>7</v>
      </c>
      <c r="Z118" s="4">
        <v>6</v>
      </c>
      <c r="AY118" s="3" t="s">
        <v>22</v>
      </c>
      <c r="AZ118" s="3" t="s">
        <v>18</v>
      </c>
      <c r="BD118" s="3" t="str">
        <f t="shared" si="3"/>
        <v>Alto</v>
      </c>
      <c r="BE118" s="3" t="s">
        <v>623</v>
      </c>
      <c r="BF118" s="3" t="s">
        <v>100</v>
      </c>
      <c r="BG118" s="3" t="s">
        <v>101</v>
      </c>
    </row>
    <row r="119" spans="1:60" x14ac:dyDescent="0.3">
      <c r="A119" s="3" t="s">
        <v>1139</v>
      </c>
      <c r="B119" s="3" t="s">
        <v>26</v>
      </c>
      <c r="C119" s="3">
        <v>14</v>
      </c>
      <c r="D119" s="3">
        <v>9</v>
      </c>
      <c r="G119" s="4">
        <v>9</v>
      </c>
      <c r="H119" s="4">
        <v>9</v>
      </c>
      <c r="I119" s="4">
        <v>7</v>
      </c>
      <c r="J119" s="4">
        <v>7</v>
      </c>
      <c r="K119" s="4">
        <v>10</v>
      </c>
      <c r="L119" s="4">
        <v>10</v>
      </c>
      <c r="M119" s="4">
        <v>7</v>
      </c>
      <c r="N119" s="4">
        <v>8</v>
      </c>
      <c r="W119" s="4">
        <v>9</v>
      </c>
      <c r="X119" s="4">
        <v>9</v>
      </c>
      <c r="Y119" s="4">
        <v>6</v>
      </c>
      <c r="Z119" s="4">
        <v>8</v>
      </c>
      <c r="AY119" s="3" t="s">
        <v>18</v>
      </c>
      <c r="AZ119" s="3" t="s">
        <v>17</v>
      </c>
      <c r="BA119" s="3" t="s">
        <v>102</v>
      </c>
      <c r="BD119" s="3" t="str">
        <f t="shared" si="3"/>
        <v>Moderado</v>
      </c>
      <c r="BE119" s="3" t="str">
        <f t="shared" si="2"/>
        <v>Se mantuvo igual</v>
      </c>
      <c r="BF119" s="3" t="s">
        <v>103</v>
      </c>
      <c r="BG119" s="3" t="s">
        <v>104</v>
      </c>
      <c r="BH119" s="3" t="s">
        <v>105</v>
      </c>
    </row>
    <row r="120" spans="1:60" x14ac:dyDescent="0.3">
      <c r="A120" s="3" t="s">
        <v>1139</v>
      </c>
      <c r="B120" s="3" t="s">
        <v>26</v>
      </c>
      <c r="C120" s="3">
        <v>14</v>
      </c>
      <c r="D120" s="3">
        <v>9</v>
      </c>
      <c r="G120" s="4">
        <v>7</v>
      </c>
      <c r="H120" s="4">
        <v>9</v>
      </c>
      <c r="I120" s="4">
        <v>7</v>
      </c>
      <c r="J120" s="4">
        <v>10</v>
      </c>
      <c r="K120" s="4">
        <v>7</v>
      </c>
      <c r="L120" s="4">
        <v>9</v>
      </c>
      <c r="M120" s="4">
        <v>9</v>
      </c>
      <c r="N120" s="4">
        <v>9</v>
      </c>
      <c r="W120" s="4">
        <v>10</v>
      </c>
      <c r="X120" s="4">
        <v>9</v>
      </c>
      <c r="Y120" s="4">
        <v>9</v>
      </c>
      <c r="Z120" s="4">
        <v>9</v>
      </c>
      <c r="AY120" s="3" t="s">
        <v>18</v>
      </c>
      <c r="AZ120" s="3" t="s">
        <v>22</v>
      </c>
      <c r="BD120" s="3" t="str">
        <f t="shared" si="3"/>
        <v>Moderado</v>
      </c>
      <c r="BE120" s="3" t="str">
        <f t="shared" si="2"/>
        <v>Aumentó</v>
      </c>
      <c r="BF120" s="3" t="s">
        <v>86</v>
      </c>
      <c r="BG120" s="3" t="s">
        <v>106</v>
      </c>
    </row>
    <row r="121" spans="1:60" x14ac:dyDescent="0.3">
      <c r="A121" s="3" t="s">
        <v>1139</v>
      </c>
      <c r="B121" s="3" t="s">
        <v>26</v>
      </c>
      <c r="C121" s="3">
        <v>14</v>
      </c>
      <c r="D121" s="3">
        <v>10</v>
      </c>
      <c r="G121" s="4">
        <v>9</v>
      </c>
      <c r="H121" s="4">
        <v>10</v>
      </c>
      <c r="I121" s="4">
        <v>9</v>
      </c>
      <c r="J121" s="4">
        <v>9</v>
      </c>
      <c r="K121" s="4">
        <v>9</v>
      </c>
      <c r="L121" s="4">
        <v>10</v>
      </c>
      <c r="M121" s="4">
        <v>10</v>
      </c>
      <c r="N121" s="4">
        <v>10</v>
      </c>
      <c r="W121" s="4">
        <v>10</v>
      </c>
      <c r="X121" s="4">
        <v>8</v>
      </c>
      <c r="Y121" s="4">
        <v>10</v>
      </c>
      <c r="Z121" s="4">
        <v>10</v>
      </c>
      <c r="AY121" s="3" t="s">
        <v>22</v>
      </c>
      <c r="AZ121" s="3" t="s">
        <v>18</v>
      </c>
      <c r="BA121" s="3" t="s">
        <v>107</v>
      </c>
      <c r="BD121" s="3" t="str">
        <f t="shared" si="3"/>
        <v>Alto</v>
      </c>
      <c r="BE121" s="3" t="s">
        <v>623</v>
      </c>
      <c r="BF121" s="3" t="s">
        <v>108</v>
      </c>
      <c r="BG121" s="3" t="s">
        <v>109</v>
      </c>
      <c r="BH121" s="3" t="s">
        <v>110</v>
      </c>
    </row>
    <row r="122" spans="1:60" x14ac:dyDescent="0.3">
      <c r="A122" s="3" t="s">
        <v>1139</v>
      </c>
      <c r="B122" s="3" t="s">
        <v>26</v>
      </c>
      <c r="C122" s="3">
        <v>14</v>
      </c>
      <c r="D122" s="3">
        <v>8</v>
      </c>
      <c r="G122" s="4">
        <v>7</v>
      </c>
      <c r="H122" s="4">
        <v>10</v>
      </c>
      <c r="I122" s="4">
        <v>6</v>
      </c>
      <c r="J122" s="4">
        <v>7</v>
      </c>
      <c r="K122" s="4">
        <v>8</v>
      </c>
      <c r="L122" s="4">
        <v>10</v>
      </c>
      <c r="M122" s="4">
        <v>9</v>
      </c>
      <c r="N122" s="4">
        <v>8</v>
      </c>
      <c r="W122" s="4">
        <v>8</v>
      </c>
      <c r="X122" s="4">
        <v>5</v>
      </c>
      <c r="Y122" s="4">
        <v>7</v>
      </c>
      <c r="Z122" s="4">
        <v>9</v>
      </c>
      <c r="AY122" s="3" t="s">
        <v>22</v>
      </c>
      <c r="AZ122" s="3" t="s">
        <v>22</v>
      </c>
      <c r="BA122" s="3" t="s">
        <v>111</v>
      </c>
      <c r="BD122" s="3" t="str">
        <f t="shared" si="3"/>
        <v>Alto</v>
      </c>
      <c r="BE122" s="3" t="str">
        <f t="shared" si="2"/>
        <v>Aumentó</v>
      </c>
      <c r="BF122" s="3" t="s">
        <v>86</v>
      </c>
      <c r="BG122" s="3" t="s">
        <v>112</v>
      </c>
      <c r="BH122" s="3" t="s">
        <v>113</v>
      </c>
    </row>
    <row r="123" spans="1:60" x14ac:dyDescent="0.3">
      <c r="A123" s="3" t="s">
        <v>1139</v>
      </c>
      <c r="B123" s="3" t="s">
        <v>26</v>
      </c>
      <c r="C123" s="3">
        <v>16</v>
      </c>
      <c r="D123" s="3">
        <v>8</v>
      </c>
      <c r="G123" s="4">
        <v>7</v>
      </c>
      <c r="H123" s="4">
        <v>8</v>
      </c>
      <c r="K123" s="4">
        <v>8</v>
      </c>
      <c r="L123" s="4">
        <v>9</v>
      </c>
      <c r="M123" s="4">
        <v>10</v>
      </c>
      <c r="N123" s="4">
        <v>9</v>
      </c>
      <c r="Q123" s="4">
        <v>8</v>
      </c>
      <c r="R123" s="4">
        <v>8</v>
      </c>
      <c r="W123" s="4">
        <v>10</v>
      </c>
      <c r="X123" s="4">
        <v>9</v>
      </c>
      <c r="AE123" s="4">
        <v>10</v>
      </c>
      <c r="AF123" s="4">
        <v>10</v>
      </c>
      <c r="AG123" s="4">
        <v>7</v>
      </c>
      <c r="AH123" s="4">
        <v>7</v>
      </c>
      <c r="AY123" s="3" t="s">
        <v>18</v>
      </c>
      <c r="AZ123" s="3" t="s">
        <v>18</v>
      </c>
      <c r="BD123" s="3" t="str">
        <f t="shared" si="3"/>
        <v>Moderado</v>
      </c>
      <c r="BE123" s="3" t="str">
        <f t="shared" si="2"/>
        <v>Se mantuvo igual</v>
      </c>
      <c r="BF123" s="3" t="s">
        <v>293</v>
      </c>
      <c r="BG123" s="3" t="s">
        <v>294</v>
      </c>
    </row>
    <row r="124" spans="1:60" x14ac:dyDescent="0.3">
      <c r="A124" s="3" t="s">
        <v>1139</v>
      </c>
      <c r="B124" s="3" t="s">
        <v>26</v>
      </c>
      <c r="C124" s="3">
        <v>16</v>
      </c>
      <c r="D124" s="3">
        <v>9</v>
      </c>
      <c r="G124" s="4">
        <v>10</v>
      </c>
      <c r="H124" s="4">
        <v>10</v>
      </c>
      <c r="K124" s="4">
        <v>7</v>
      </c>
      <c r="L124" s="4">
        <v>9</v>
      </c>
      <c r="M124" s="4">
        <v>10</v>
      </c>
      <c r="N124" s="4">
        <v>10</v>
      </c>
      <c r="Q124" s="4">
        <v>10</v>
      </c>
      <c r="R124" s="4">
        <v>10</v>
      </c>
      <c r="W124" s="4">
        <v>10</v>
      </c>
      <c r="X124" s="4">
        <v>10</v>
      </c>
      <c r="AE124" s="4">
        <v>10</v>
      </c>
      <c r="AF124" s="4">
        <v>9</v>
      </c>
      <c r="AG124" s="4">
        <v>8</v>
      </c>
      <c r="AH124" s="4">
        <v>8</v>
      </c>
      <c r="AY124" s="3" t="s">
        <v>22</v>
      </c>
      <c r="AZ124" s="3" t="s">
        <v>18</v>
      </c>
      <c r="BD124" s="3" t="str">
        <f t="shared" si="3"/>
        <v>Alto</v>
      </c>
      <c r="BE124" s="3" t="s">
        <v>623</v>
      </c>
      <c r="BF124" s="3" t="s">
        <v>295</v>
      </c>
      <c r="BG124" s="3" t="s">
        <v>296</v>
      </c>
    </row>
    <row r="125" spans="1:60" x14ac:dyDescent="0.3">
      <c r="A125" s="3" t="s">
        <v>1139</v>
      </c>
      <c r="B125" s="3" t="s">
        <v>26</v>
      </c>
      <c r="C125" s="3">
        <v>16</v>
      </c>
      <c r="D125" s="3">
        <v>8</v>
      </c>
      <c r="G125" s="4">
        <v>9</v>
      </c>
      <c r="H125" s="4">
        <v>9</v>
      </c>
      <c r="K125" s="4">
        <v>7</v>
      </c>
      <c r="L125" s="4">
        <v>8</v>
      </c>
      <c r="M125" s="4">
        <v>7</v>
      </c>
      <c r="N125" s="4">
        <v>8</v>
      </c>
      <c r="Q125" s="4">
        <v>7</v>
      </c>
      <c r="R125" s="4">
        <v>8</v>
      </c>
      <c r="W125" s="4">
        <v>10</v>
      </c>
      <c r="X125" s="4">
        <v>10</v>
      </c>
      <c r="AE125" s="4">
        <v>9</v>
      </c>
      <c r="AF125" s="4">
        <v>9</v>
      </c>
      <c r="AG125" s="4">
        <v>7</v>
      </c>
      <c r="AH125" s="4">
        <v>8</v>
      </c>
      <c r="AY125" s="3" t="s">
        <v>22</v>
      </c>
      <c r="AZ125" s="3" t="s">
        <v>18</v>
      </c>
      <c r="BA125" s="3" t="s">
        <v>297</v>
      </c>
      <c r="BD125" s="3" t="str">
        <f t="shared" si="3"/>
        <v>Alto</v>
      </c>
      <c r="BE125" s="3" t="s">
        <v>623</v>
      </c>
      <c r="BF125" s="3" t="s">
        <v>298</v>
      </c>
      <c r="BG125" s="3" t="s">
        <v>299</v>
      </c>
      <c r="BH125" s="3" t="s">
        <v>300</v>
      </c>
    </row>
    <row r="126" spans="1:60" x14ac:dyDescent="0.3">
      <c r="A126" s="3" t="s">
        <v>1139</v>
      </c>
      <c r="B126" s="3" t="s">
        <v>26</v>
      </c>
      <c r="C126" s="3">
        <v>17</v>
      </c>
      <c r="D126" s="3">
        <v>8</v>
      </c>
      <c r="G126" s="4">
        <v>9</v>
      </c>
      <c r="H126" s="4">
        <v>9</v>
      </c>
      <c r="K126" s="4">
        <v>10</v>
      </c>
      <c r="L126" s="4">
        <v>10</v>
      </c>
      <c r="M126" s="4">
        <v>8</v>
      </c>
      <c r="N126" s="4">
        <v>5</v>
      </c>
      <c r="Q126" s="4">
        <v>8</v>
      </c>
      <c r="R126" s="4">
        <v>8</v>
      </c>
      <c r="W126" s="4">
        <v>9</v>
      </c>
      <c r="X126" s="4">
        <v>9</v>
      </c>
      <c r="AE126" s="4">
        <v>9</v>
      </c>
      <c r="AF126" s="4">
        <v>8</v>
      </c>
      <c r="AG126" s="4">
        <v>7</v>
      </c>
      <c r="AH126" s="4">
        <v>6</v>
      </c>
      <c r="AY126" s="3" t="s">
        <v>22</v>
      </c>
      <c r="AZ126" s="3" t="s">
        <v>22</v>
      </c>
      <c r="BD126" s="3" t="str">
        <f t="shared" si="3"/>
        <v>Alto</v>
      </c>
      <c r="BE126" s="3" t="str">
        <f t="shared" si="2"/>
        <v>Aumentó</v>
      </c>
      <c r="BF126" s="3" t="s">
        <v>301</v>
      </c>
      <c r="BG126" s="3" t="s">
        <v>302</v>
      </c>
      <c r="BH126" s="3" t="s">
        <v>303</v>
      </c>
    </row>
    <row r="127" spans="1:60" x14ac:dyDescent="0.3">
      <c r="A127" s="3" t="s">
        <v>1139</v>
      </c>
      <c r="B127" s="3" t="s">
        <v>26</v>
      </c>
      <c r="C127" s="3">
        <v>16</v>
      </c>
      <c r="D127" s="3">
        <v>9</v>
      </c>
      <c r="G127" s="4">
        <v>6</v>
      </c>
      <c r="H127" s="4">
        <v>10</v>
      </c>
      <c r="K127" s="4">
        <v>8</v>
      </c>
      <c r="L127" s="4">
        <v>9</v>
      </c>
      <c r="M127" s="4">
        <v>10</v>
      </c>
      <c r="N127" s="4">
        <v>9</v>
      </c>
      <c r="Q127" s="4">
        <v>5</v>
      </c>
      <c r="R127" s="4">
        <v>6</v>
      </c>
      <c r="W127" s="4">
        <v>10</v>
      </c>
      <c r="X127" s="4">
        <v>8</v>
      </c>
      <c r="AE127" s="4">
        <v>10</v>
      </c>
      <c r="AF127" s="4">
        <v>7</v>
      </c>
      <c r="AG127" s="4">
        <v>4</v>
      </c>
      <c r="AH127" s="4">
        <v>6</v>
      </c>
      <c r="AY127" s="3" t="s">
        <v>22</v>
      </c>
      <c r="AZ127" s="3" t="s">
        <v>17</v>
      </c>
      <c r="BA127" s="3" t="s">
        <v>304</v>
      </c>
      <c r="BD127" s="3" t="str">
        <f t="shared" si="3"/>
        <v>Alto</v>
      </c>
      <c r="BE127" s="3" t="s">
        <v>623</v>
      </c>
      <c r="BF127" s="3" t="s">
        <v>305</v>
      </c>
      <c r="BG127" s="3" t="s">
        <v>306</v>
      </c>
      <c r="BH127" s="3" t="s">
        <v>307</v>
      </c>
    </row>
    <row r="128" spans="1:60" x14ac:dyDescent="0.3">
      <c r="A128" s="3" t="s">
        <v>1139</v>
      </c>
      <c r="B128" s="3" t="s">
        <v>26</v>
      </c>
      <c r="C128" s="3">
        <v>16</v>
      </c>
      <c r="D128" s="3">
        <v>7</v>
      </c>
      <c r="G128" s="4">
        <v>4</v>
      </c>
      <c r="H128" s="4">
        <v>6</v>
      </c>
      <c r="K128" s="4">
        <v>9</v>
      </c>
      <c r="L128" s="4">
        <v>8</v>
      </c>
      <c r="M128" s="4">
        <v>4</v>
      </c>
      <c r="N128" s="4">
        <v>5</v>
      </c>
      <c r="Q128" s="4">
        <v>4</v>
      </c>
      <c r="R128" s="4">
        <v>5</v>
      </c>
      <c r="W128" s="4">
        <v>10</v>
      </c>
      <c r="X128" s="4">
        <v>10</v>
      </c>
      <c r="AE128" s="4">
        <v>10</v>
      </c>
      <c r="AF128" s="4">
        <v>10</v>
      </c>
      <c r="AG128" s="4">
        <v>3</v>
      </c>
      <c r="AH128" s="4">
        <v>4</v>
      </c>
      <c r="AY128" s="3" t="s">
        <v>22</v>
      </c>
      <c r="AZ128" s="3" t="s">
        <v>18</v>
      </c>
      <c r="BD128" s="3" t="str">
        <f t="shared" si="3"/>
        <v>Alto</v>
      </c>
      <c r="BE128" s="3" t="s">
        <v>623</v>
      </c>
      <c r="BF128" s="3" t="s">
        <v>308</v>
      </c>
      <c r="BG128" s="3" t="s">
        <v>309</v>
      </c>
    </row>
    <row r="129" spans="1:60" x14ac:dyDescent="0.3">
      <c r="A129" s="3" t="s">
        <v>1139</v>
      </c>
      <c r="B129" s="3" t="s">
        <v>26</v>
      </c>
      <c r="C129" s="3">
        <v>15</v>
      </c>
      <c r="D129" s="3">
        <v>8</v>
      </c>
      <c r="G129" s="4">
        <v>7</v>
      </c>
      <c r="H129" s="4">
        <v>8</v>
      </c>
      <c r="K129" s="4">
        <v>9</v>
      </c>
      <c r="L129" s="4">
        <v>9</v>
      </c>
      <c r="M129" s="4">
        <v>8</v>
      </c>
      <c r="N129" s="4">
        <v>8</v>
      </c>
      <c r="Q129" s="4">
        <v>7</v>
      </c>
      <c r="R129" s="4">
        <v>7</v>
      </c>
      <c r="W129" s="4">
        <v>9</v>
      </c>
      <c r="X129" s="4">
        <v>9</v>
      </c>
      <c r="AE129" s="4">
        <v>9</v>
      </c>
      <c r="AF129" s="4">
        <v>9</v>
      </c>
      <c r="AG129" s="4">
        <v>8</v>
      </c>
      <c r="AH129" s="4">
        <v>7</v>
      </c>
      <c r="AY129" s="3" t="s">
        <v>22</v>
      </c>
      <c r="AZ129" s="3" t="s">
        <v>22</v>
      </c>
      <c r="BD129" s="3" t="str">
        <f t="shared" si="3"/>
        <v>Alto</v>
      </c>
      <c r="BE129" s="3" t="str">
        <f t="shared" si="2"/>
        <v>Aumentó</v>
      </c>
      <c r="BF129" s="3" t="s">
        <v>310</v>
      </c>
      <c r="BG129" s="3" t="s">
        <v>28</v>
      </c>
    </row>
    <row r="130" spans="1:60" x14ac:dyDescent="0.3">
      <c r="A130" s="3" t="s">
        <v>1139</v>
      </c>
      <c r="B130" s="3" t="s">
        <v>26</v>
      </c>
      <c r="C130" s="3">
        <v>16</v>
      </c>
      <c r="D130" s="3">
        <v>8</v>
      </c>
      <c r="G130" s="4">
        <v>10</v>
      </c>
      <c r="H130" s="4">
        <v>10</v>
      </c>
      <c r="K130" s="4">
        <v>9</v>
      </c>
      <c r="L130" s="4">
        <v>8</v>
      </c>
      <c r="M130" s="4">
        <v>6</v>
      </c>
      <c r="N130" s="4">
        <v>6</v>
      </c>
      <c r="Q130" s="4">
        <v>6</v>
      </c>
      <c r="R130" s="4">
        <v>6</v>
      </c>
      <c r="W130" s="4">
        <v>8</v>
      </c>
      <c r="X130" s="4">
        <v>7</v>
      </c>
      <c r="AE130" s="4">
        <v>9</v>
      </c>
      <c r="AF130" s="4">
        <v>9</v>
      </c>
      <c r="AG130" s="4">
        <v>7</v>
      </c>
      <c r="AH130" s="4">
        <v>7</v>
      </c>
      <c r="AY130" s="3" t="s">
        <v>22</v>
      </c>
      <c r="AZ130" s="3" t="s">
        <v>18</v>
      </c>
      <c r="BD130" s="3" t="str">
        <f t="shared" si="3"/>
        <v>Alto</v>
      </c>
      <c r="BE130" s="3" t="s">
        <v>623</v>
      </c>
      <c r="BF130" s="3" t="s">
        <v>311</v>
      </c>
      <c r="BG130" s="3" t="s">
        <v>312</v>
      </c>
    </row>
    <row r="131" spans="1:60" x14ac:dyDescent="0.3">
      <c r="A131" s="3" t="s">
        <v>1139</v>
      </c>
      <c r="B131" s="3" t="s">
        <v>26</v>
      </c>
      <c r="C131" s="3">
        <v>15</v>
      </c>
      <c r="D131" s="3">
        <v>8</v>
      </c>
      <c r="G131" s="4">
        <v>10</v>
      </c>
      <c r="H131" s="4">
        <v>9</v>
      </c>
      <c r="K131" s="4">
        <v>9</v>
      </c>
      <c r="L131" s="4">
        <v>8</v>
      </c>
      <c r="M131" s="4">
        <v>8</v>
      </c>
      <c r="N131" s="4">
        <v>8</v>
      </c>
      <c r="Q131" s="4">
        <v>7</v>
      </c>
      <c r="R131" s="4">
        <v>7</v>
      </c>
      <c r="W131" s="4">
        <v>8</v>
      </c>
      <c r="X131" s="4">
        <v>6</v>
      </c>
      <c r="AE131" s="4">
        <v>8</v>
      </c>
      <c r="AF131" s="4">
        <v>6</v>
      </c>
      <c r="AG131" s="4">
        <v>7</v>
      </c>
      <c r="AH131" s="4">
        <v>7</v>
      </c>
      <c r="AY131" s="3" t="s">
        <v>17</v>
      </c>
      <c r="BB131" s="3" t="s">
        <v>22</v>
      </c>
      <c r="BC131" s="3" t="s">
        <v>22</v>
      </c>
      <c r="BD131" s="3" t="str">
        <f t="shared" si="3"/>
        <v>Bajo</v>
      </c>
      <c r="BE131" s="3" t="str">
        <f t="shared" ref="BE131:BE193" si="4">IF(AZ131="Sí", "Aumentó", IF(AY131="Tal vez", "Se mantuvo igual", IF(AY131="No", "Se mantuvo igual", "")))</f>
        <v>Se mantuvo igual</v>
      </c>
      <c r="BF131" s="3" t="s">
        <v>313</v>
      </c>
      <c r="BG131" s="3" t="s">
        <v>314</v>
      </c>
      <c r="BH131" s="3" t="s">
        <v>91</v>
      </c>
    </row>
    <row r="132" spans="1:60" x14ac:dyDescent="0.3">
      <c r="A132" s="3" t="s">
        <v>1139</v>
      </c>
      <c r="B132" s="3" t="s">
        <v>26</v>
      </c>
      <c r="C132" s="3">
        <v>16</v>
      </c>
      <c r="D132" s="3">
        <v>10</v>
      </c>
      <c r="G132" s="4">
        <v>10</v>
      </c>
      <c r="H132" s="4">
        <v>10</v>
      </c>
      <c r="K132" s="4">
        <v>8</v>
      </c>
      <c r="L132" s="4">
        <v>9</v>
      </c>
      <c r="M132" s="4">
        <v>9</v>
      </c>
      <c r="N132" s="4">
        <v>10</v>
      </c>
      <c r="Q132" s="4">
        <v>10</v>
      </c>
      <c r="R132" s="4">
        <v>9</v>
      </c>
      <c r="W132" s="4">
        <v>10</v>
      </c>
      <c r="X132" s="4">
        <v>8</v>
      </c>
      <c r="AE132" s="4">
        <v>10</v>
      </c>
      <c r="AF132" s="4">
        <v>10</v>
      </c>
      <c r="AG132" s="4">
        <v>8</v>
      </c>
      <c r="AH132" s="4">
        <v>8</v>
      </c>
      <c r="AY132" s="3" t="s">
        <v>22</v>
      </c>
      <c r="AZ132" s="3" t="s">
        <v>22</v>
      </c>
      <c r="BD132" s="3" t="str">
        <f t="shared" ref="BD132:BD195" si="5">IF(AY132="Sí", "Alto", IF(AY132="Tal vez", "Moderado", IF(AY132="No", "Bajo", "")))</f>
        <v>Alto</v>
      </c>
      <c r="BE132" s="3" t="str">
        <f t="shared" si="4"/>
        <v>Aumentó</v>
      </c>
      <c r="BF132" s="3" t="s">
        <v>295</v>
      </c>
      <c r="BG132" s="3" t="s">
        <v>315</v>
      </c>
      <c r="BH132" s="3" t="s">
        <v>316</v>
      </c>
    </row>
    <row r="133" spans="1:60" x14ac:dyDescent="0.3">
      <c r="A133" s="3" t="s">
        <v>1139</v>
      </c>
      <c r="B133" s="3" t="s">
        <v>26</v>
      </c>
      <c r="C133" s="3">
        <v>15</v>
      </c>
      <c r="D133" s="3">
        <v>9</v>
      </c>
      <c r="G133" s="4">
        <v>9</v>
      </c>
      <c r="H133" s="4">
        <v>10</v>
      </c>
      <c r="K133" s="4">
        <v>9</v>
      </c>
      <c r="L133" s="4">
        <v>10</v>
      </c>
      <c r="M133" s="4">
        <v>6</v>
      </c>
      <c r="N133" s="4">
        <v>8</v>
      </c>
      <c r="Q133" s="4">
        <v>10</v>
      </c>
      <c r="R133" s="4">
        <v>10</v>
      </c>
      <c r="W133" s="4">
        <v>10</v>
      </c>
      <c r="X133" s="4">
        <v>9</v>
      </c>
      <c r="AE133" s="4">
        <v>9</v>
      </c>
      <c r="AF133" s="4">
        <v>9</v>
      </c>
      <c r="AG133" s="4">
        <v>9</v>
      </c>
      <c r="AH133" s="4">
        <v>9</v>
      </c>
      <c r="AY133" s="3" t="s">
        <v>18</v>
      </c>
      <c r="AZ133" s="3" t="s">
        <v>18</v>
      </c>
      <c r="BD133" s="3" t="str">
        <f t="shared" si="5"/>
        <v>Moderado</v>
      </c>
      <c r="BE133" s="3" t="str">
        <f t="shared" si="4"/>
        <v>Se mantuvo igual</v>
      </c>
      <c r="BF133" s="3" t="s">
        <v>295</v>
      </c>
      <c r="BG133" s="3" t="s">
        <v>317</v>
      </c>
    </row>
    <row r="134" spans="1:60" x14ac:dyDescent="0.3">
      <c r="A134" s="3" t="s">
        <v>1139</v>
      </c>
      <c r="B134" s="3" t="s">
        <v>16</v>
      </c>
      <c r="C134" s="3">
        <v>15</v>
      </c>
      <c r="D134" s="3">
        <v>10</v>
      </c>
      <c r="G134" s="4">
        <v>10</v>
      </c>
      <c r="H134" s="4">
        <v>10</v>
      </c>
      <c r="K134" s="4">
        <v>10</v>
      </c>
      <c r="L134" s="4">
        <v>9</v>
      </c>
      <c r="M134" s="4">
        <v>10</v>
      </c>
      <c r="N134" s="4">
        <v>10</v>
      </c>
      <c r="Q134" s="4">
        <v>10</v>
      </c>
      <c r="R134" s="4">
        <v>10</v>
      </c>
      <c r="W134" s="4">
        <v>10</v>
      </c>
      <c r="X134" s="4">
        <v>10</v>
      </c>
      <c r="AE134" s="4">
        <v>10</v>
      </c>
      <c r="AF134" s="4">
        <v>10</v>
      </c>
      <c r="AG134" s="4">
        <v>10</v>
      </c>
      <c r="AH134" s="4">
        <v>10</v>
      </c>
      <c r="AY134" s="3" t="s">
        <v>18</v>
      </c>
      <c r="AZ134" s="3" t="s">
        <v>18</v>
      </c>
      <c r="BD134" s="3" t="str">
        <f t="shared" si="5"/>
        <v>Moderado</v>
      </c>
      <c r="BE134" s="3" t="str">
        <f t="shared" si="4"/>
        <v>Se mantuvo igual</v>
      </c>
      <c r="BF134" s="3" t="s">
        <v>318</v>
      </c>
      <c r="BG134" s="3" t="s">
        <v>319</v>
      </c>
    </row>
    <row r="135" spans="1:60" x14ac:dyDescent="0.3">
      <c r="A135" s="3" t="s">
        <v>1139</v>
      </c>
      <c r="B135" s="3" t="s">
        <v>191</v>
      </c>
      <c r="C135" s="3">
        <v>15</v>
      </c>
      <c r="D135" s="3">
        <v>10</v>
      </c>
      <c r="G135" s="4">
        <v>6</v>
      </c>
      <c r="H135" s="4">
        <v>7</v>
      </c>
      <c r="K135" s="4">
        <v>10</v>
      </c>
      <c r="L135" s="4">
        <v>10</v>
      </c>
      <c r="M135" s="4">
        <v>10</v>
      </c>
      <c r="N135" s="4">
        <v>10</v>
      </c>
      <c r="Q135" s="4">
        <v>8</v>
      </c>
      <c r="R135" s="4">
        <v>6</v>
      </c>
      <c r="W135" s="4">
        <v>4</v>
      </c>
      <c r="X135" s="4">
        <v>7</v>
      </c>
      <c r="AE135" s="4">
        <v>10</v>
      </c>
      <c r="AF135" s="4">
        <v>10</v>
      </c>
      <c r="AG135" s="4">
        <v>10</v>
      </c>
      <c r="AH135" s="4">
        <v>10</v>
      </c>
      <c r="AY135" s="3" t="s">
        <v>22</v>
      </c>
      <c r="AZ135" s="3" t="s">
        <v>22</v>
      </c>
      <c r="BD135" s="3" t="str">
        <f t="shared" si="5"/>
        <v>Alto</v>
      </c>
      <c r="BE135" s="3" t="str">
        <f t="shared" si="4"/>
        <v>Aumentó</v>
      </c>
      <c r="BF135" s="3" t="s">
        <v>320</v>
      </c>
      <c r="BG135" s="3" t="s">
        <v>24</v>
      </c>
    </row>
    <row r="136" spans="1:60" x14ac:dyDescent="0.3">
      <c r="A136" s="3" t="s">
        <v>1139</v>
      </c>
      <c r="B136" s="3" t="s">
        <v>26</v>
      </c>
      <c r="C136" s="3">
        <v>16</v>
      </c>
      <c r="D136" s="3">
        <v>9</v>
      </c>
      <c r="G136" s="4">
        <v>9</v>
      </c>
      <c r="H136" s="4">
        <v>9</v>
      </c>
      <c r="K136" s="4">
        <v>10</v>
      </c>
      <c r="L136" s="4">
        <v>10</v>
      </c>
      <c r="M136" s="4">
        <v>7</v>
      </c>
      <c r="N136" s="4">
        <v>5</v>
      </c>
      <c r="Q136" s="4">
        <v>8</v>
      </c>
      <c r="R136" s="4">
        <v>7</v>
      </c>
      <c r="W136" s="4">
        <v>9</v>
      </c>
      <c r="X136" s="4">
        <v>8</v>
      </c>
      <c r="AE136" s="4">
        <v>9</v>
      </c>
      <c r="AF136" s="4">
        <v>8</v>
      </c>
      <c r="AG136" s="4">
        <v>8</v>
      </c>
      <c r="AH136" s="4">
        <v>6</v>
      </c>
      <c r="AY136" s="3" t="s">
        <v>22</v>
      </c>
      <c r="AZ136" s="3" t="s">
        <v>22</v>
      </c>
      <c r="BA136" s="3" t="s">
        <v>28</v>
      </c>
      <c r="BD136" s="3" t="str">
        <f t="shared" si="5"/>
        <v>Alto</v>
      </c>
      <c r="BE136" s="3" t="str">
        <f t="shared" si="4"/>
        <v>Aumentó</v>
      </c>
      <c r="BF136" s="3" t="s">
        <v>321</v>
      </c>
      <c r="BG136" s="3" t="s">
        <v>28</v>
      </c>
      <c r="BH136" s="3" t="s">
        <v>28</v>
      </c>
    </row>
    <row r="137" spans="1:60" x14ac:dyDescent="0.3">
      <c r="A137" s="3" t="s">
        <v>1139</v>
      </c>
      <c r="B137" s="3" t="s">
        <v>16</v>
      </c>
      <c r="C137" s="3">
        <v>15</v>
      </c>
      <c r="D137" s="3">
        <v>7</v>
      </c>
      <c r="G137" s="4">
        <v>6</v>
      </c>
      <c r="H137" s="4">
        <v>4</v>
      </c>
      <c r="K137" s="4">
        <v>3</v>
      </c>
      <c r="L137" s="4">
        <v>7</v>
      </c>
      <c r="M137" s="4">
        <v>10</v>
      </c>
      <c r="N137" s="4">
        <v>9</v>
      </c>
      <c r="Q137" s="4">
        <v>2</v>
      </c>
      <c r="R137" s="4">
        <v>2</v>
      </c>
      <c r="W137" s="4">
        <v>10</v>
      </c>
      <c r="X137" s="4">
        <v>9</v>
      </c>
      <c r="AE137" s="4">
        <v>10</v>
      </c>
      <c r="AF137" s="4">
        <v>8</v>
      </c>
      <c r="AG137" s="4">
        <v>3</v>
      </c>
      <c r="AH137" s="4">
        <v>3</v>
      </c>
      <c r="AY137" s="3" t="s">
        <v>17</v>
      </c>
      <c r="BB137" s="3" t="s">
        <v>18</v>
      </c>
      <c r="BC137" s="3" t="s">
        <v>22</v>
      </c>
      <c r="BD137" s="3" t="str">
        <f t="shared" si="5"/>
        <v>Bajo</v>
      </c>
      <c r="BE137" s="3" t="str">
        <f t="shared" si="4"/>
        <v>Se mantuvo igual</v>
      </c>
      <c r="BF137" s="3" t="s">
        <v>318</v>
      </c>
      <c r="BG137" s="3" t="s">
        <v>322</v>
      </c>
      <c r="BH137" s="3" t="s">
        <v>323</v>
      </c>
    </row>
    <row r="138" spans="1:60" x14ac:dyDescent="0.3">
      <c r="A138" s="3" t="s">
        <v>1139</v>
      </c>
      <c r="B138" s="3" t="s">
        <v>26</v>
      </c>
      <c r="C138" s="3">
        <v>15</v>
      </c>
      <c r="D138" s="3">
        <v>7</v>
      </c>
      <c r="G138" s="4">
        <v>5</v>
      </c>
      <c r="H138" s="4">
        <v>5</v>
      </c>
      <c r="K138" s="4">
        <v>4</v>
      </c>
      <c r="L138" s="4">
        <v>6</v>
      </c>
      <c r="M138" s="4">
        <v>9</v>
      </c>
      <c r="N138" s="4">
        <v>9</v>
      </c>
      <c r="Q138" s="4">
        <v>4</v>
      </c>
      <c r="R138" s="4">
        <v>4</v>
      </c>
      <c r="W138" s="4">
        <v>9</v>
      </c>
      <c r="X138" s="4">
        <v>10</v>
      </c>
      <c r="AE138" s="4">
        <v>9</v>
      </c>
      <c r="AF138" s="4">
        <v>10</v>
      </c>
      <c r="AG138" s="4">
        <v>4</v>
      </c>
      <c r="AH138" s="4">
        <v>3</v>
      </c>
      <c r="AY138" s="3" t="s">
        <v>18</v>
      </c>
      <c r="AZ138" s="3" t="s">
        <v>18</v>
      </c>
      <c r="BA138" s="3" t="s">
        <v>324</v>
      </c>
      <c r="BD138" s="3" t="str">
        <f t="shared" si="5"/>
        <v>Moderado</v>
      </c>
      <c r="BE138" s="3" t="str">
        <f t="shared" si="4"/>
        <v>Se mantuvo igual</v>
      </c>
      <c r="BF138" s="3" t="s">
        <v>325</v>
      </c>
      <c r="BG138" s="3" t="s">
        <v>326</v>
      </c>
      <c r="BH138" s="3" t="s">
        <v>327</v>
      </c>
    </row>
    <row r="139" spans="1:60" x14ac:dyDescent="0.3">
      <c r="A139" s="3" t="s">
        <v>1139</v>
      </c>
      <c r="B139" s="3" t="s">
        <v>26</v>
      </c>
      <c r="C139" s="3">
        <v>16</v>
      </c>
      <c r="D139" s="3">
        <v>9</v>
      </c>
      <c r="G139" s="4">
        <v>10</v>
      </c>
      <c r="H139" s="4">
        <v>10</v>
      </c>
      <c r="K139" s="4">
        <v>10</v>
      </c>
      <c r="L139" s="4">
        <v>8</v>
      </c>
      <c r="M139" s="4">
        <v>10</v>
      </c>
      <c r="N139" s="4">
        <v>10</v>
      </c>
      <c r="Q139" s="4">
        <v>10</v>
      </c>
      <c r="R139" s="4">
        <v>10</v>
      </c>
      <c r="W139" s="4">
        <v>10</v>
      </c>
      <c r="X139" s="4">
        <v>8</v>
      </c>
      <c r="AE139" s="4">
        <v>8</v>
      </c>
      <c r="AF139" s="4">
        <v>10</v>
      </c>
      <c r="AG139" s="4">
        <v>9</v>
      </c>
      <c r="AH139" s="4">
        <v>9</v>
      </c>
      <c r="AY139" s="3" t="s">
        <v>22</v>
      </c>
      <c r="AZ139" s="3" t="s">
        <v>22</v>
      </c>
      <c r="BD139" s="3" t="str">
        <f t="shared" si="5"/>
        <v>Alto</v>
      </c>
      <c r="BE139" s="3" t="str">
        <f t="shared" si="4"/>
        <v>Aumentó</v>
      </c>
      <c r="BF139" s="3" t="s">
        <v>328</v>
      </c>
      <c r="BG139" s="3" t="s">
        <v>329</v>
      </c>
      <c r="BH139" s="3" t="s">
        <v>330</v>
      </c>
    </row>
    <row r="140" spans="1:60" x14ac:dyDescent="0.3">
      <c r="A140" s="3" t="s">
        <v>1139</v>
      </c>
      <c r="B140" s="3" t="s">
        <v>26</v>
      </c>
      <c r="C140" s="3">
        <v>15</v>
      </c>
      <c r="D140" s="3">
        <v>9</v>
      </c>
      <c r="G140" s="4">
        <v>10</v>
      </c>
      <c r="H140" s="4">
        <v>9</v>
      </c>
      <c r="K140" s="4">
        <v>9</v>
      </c>
      <c r="L140" s="4">
        <v>9</v>
      </c>
      <c r="M140" s="4">
        <v>7</v>
      </c>
      <c r="N140" s="4">
        <v>7</v>
      </c>
      <c r="Q140" s="4">
        <v>7</v>
      </c>
      <c r="R140" s="4">
        <v>7</v>
      </c>
      <c r="W140" s="4">
        <v>6</v>
      </c>
      <c r="X140" s="4">
        <v>7</v>
      </c>
      <c r="AE140" s="4">
        <v>8</v>
      </c>
      <c r="AF140" s="4">
        <v>9</v>
      </c>
      <c r="AG140" s="4">
        <v>7</v>
      </c>
      <c r="AH140" s="4">
        <v>8</v>
      </c>
      <c r="AY140" s="3" t="s">
        <v>22</v>
      </c>
      <c r="AZ140" s="3" t="s">
        <v>17</v>
      </c>
      <c r="BD140" s="3" t="str">
        <f t="shared" si="5"/>
        <v>Alto</v>
      </c>
      <c r="BE140" s="3" t="s">
        <v>623</v>
      </c>
      <c r="BF140" s="3" t="s">
        <v>32</v>
      </c>
      <c r="BG140" s="3" t="s">
        <v>331</v>
      </c>
    </row>
    <row r="141" spans="1:60" x14ac:dyDescent="0.3">
      <c r="A141" s="3" t="s">
        <v>1139</v>
      </c>
      <c r="B141" s="3" t="s">
        <v>16</v>
      </c>
      <c r="C141" s="3">
        <v>16</v>
      </c>
      <c r="D141" s="3">
        <v>10</v>
      </c>
      <c r="G141" s="4">
        <v>10</v>
      </c>
      <c r="H141" s="4">
        <v>10</v>
      </c>
      <c r="K141" s="4">
        <v>10</v>
      </c>
      <c r="L141" s="4">
        <v>10</v>
      </c>
      <c r="M141" s="4">
        <v>10</v>
      </c>
      <c r="N141" s="4">
        <v>10</v>
      </c>
      <c r="Q141" s="4">
        <v>10</v>
      </c>
      <c r="R141" s="4">
        <v>10</v>
      </c>
      <c r="W141" s="4">
        <v>10</v>
      </c>
      <c r="X141" s="4">
        <v>10</v>
      </c>
      <c r="AE141" s="4">
        <v>10</v>
      </c>
      <c r="AF141" s="4">
        <v>10</v>
      </c>
      <c r="AG141" s="4">
        <v>10</v>
      </c>
      <c r="AH141" s="4">
        <v>10</v>
      </c>
      <c r="AY141" s="3" t="s">
        <v>22</v>
      </c>
      <c r="AZ141" s="3" t="s">
        <v>18</v>
      </c>
      <c r="BA141" s="3" t="s">
        <v>209</v>
      </c>
      <c r="BD141" s="3" t="str">
        <f t="shared" si="5"/>
        <v>Alto</v>
      </c>
      <c r="BE141" s="3" t="s">
        <v>623</v>
      </c>
      <c r="BF141" s="3" t="s">
        <v>332</v>
      </c>
      <c r="BG141" s="3" t="s">
        <v>333</v>
      </c>
      <c r="BH141" s="3" t="s">
        <v>334</v>
      </c>
    </row>
    <row r="142" spans="1:60" x14ac:dyDescent="0.3">
      <c r="A142" s="3" t="s">
        <v>1139</v>
      </c>
      <c r="B142" s="3" t="s">
        <v>26</v>
      </c>
      <c r="C142" s="3">
        <v>15</v>
      </c>
      <c r="D142" s="3">
        <v>8</v>
      </c>
      <c r="G142" s="4">
        <v>7</v>
      </c>
      <c r="H142" s="4">
        <v>8</v>
      </c>
      <c r="K142" s="4">
        <v>10</v>
      </c>
      <c r="L142" s="4">
        <v>10</v>
      </c>
      <c r="M142" s="4">
        <v>8</v>
      </c>
      <c r="N142" s="4">
        <v>8</v>
      </c>
      <c r="Q142" s="4">
        <v>7</v>
      </c>
      <c r="R142" s="4">
        <v>7</v>
      </c>
      <c r="W142" s="4">
        <v>6</v>
      </c>
      <c r="X142" s="4">
        <v>7</v>
      </c>
      <c r="AE142" s="4">
        <v>7</v>
      </c>
      <c r="AF142" s="4">
        <v>8</v>
      </c>
      <c r="AG142" s="4">
        <v>7</v>
      </c>
      <c r="AH142" s="4">
        <v>7</v>
      </c>
      <c r="AY142" s="3" t="s">
        <v>22</v>
      </c>
      <c r="AZ142" s="3" t="s">
        <v>22</v>
      </c>
      <c r="BD142" s="3" t="str">
        <f t="shared" si="5"/>
        <v>Alto</v>
      </c>
      <c r="BE142" s="3" t="str">
        <f t="shared" si="4"/>
        <v>Aumentó</v>
      </c>
      <c r="BF142" s="3" t="s">
        <v>335</v>
      </c>
      <c r="BG142" s="3" t="s">
        <v>336</v>
      </c>
      <c r="BH142" s="3" t="s">
        <v>337</v>
      </c>
    </row>
    <row r="143" spans="1:60" x14ac:dyDescent="0.3">
      <c r="A143" s="3" t="s">
        <v>1139</v>
      </c>
      <c r="B143" s="3" t="s">
        <v>16</v>
      </c>
      <c r="C143" s="3">
        <v>15</v>
      </c>
      <c r="D143" s="3">
        <v>8</v>
      </c>
      <c r="G143" s="4">
        <v>7</v>
      </c>
      <c r="H143" s="4">
        <v>8</v>
      </c>
      <c r="K143" s="4">
        <v>8</v>
      </c>
      <c r="L143" s="4">
        <v>7</v>
      </c>
      <c r="M143" s="4">
        <v>7</v>
      </c>
      <c r="N143" s="4">
        <v>9</v>
      </c>
      <c r="Q143" s="4">
        <v>6</v>
      </c>
      <c r="R143" s="4">
        <v>6</v>
      </c>
      <c r="W143" s="4">
        <v>10</v>
      </c>
      <c r="X143" s="4">
        <v>10</v>
      </c>
      <c r="AE143" s="4">
        <v>10</v>
      </c>
      <c r="AF143" s="4">
        <v>10</v>
      </c>
      <c r="AG143" s="4">
        <v>6</v>
      </c>
      <c r="AH143" s="4">
        <v>9</v>
      </c>
      <c r="AY143" s="3" t="s">
        <v>18</v>
      </c>
      <c r="AZ143" s="3" t="s">
        <v>18</v>
      </c>
      <c r="BD143" s="3" t="str">
        <f t="shared" si="5"/>
        <v>Moderado</v>
      </c>
      <c r="BE143" s="3" t="str">
        <f t="shared" si="4"/>
        <v>Se mantuvo igual</v>
      </c>
      <c r="BF143" s="3" t="s">
        <v>338</v>
      </c>
      <c r="BG143" s="3" t="s">
        <v>339</v>
      </c>
      <c r="BH143" s="3" t="s">
        <v>340</v>
      </c>
    </row>
    <row r="144" spans="1:60" x14ac:dyDescent="0.3">
      <c r="A144" s="3" t="s">
        <v>1139</v>
      </c>
      <c r="B144" s="3" t="s">
        <v>16</v>
      </c>
      <c r="C144" s="3">
        <v>15</v>
      </c>
      <c r="D144" s="3">
        <v>9</v>
      </c>
      <c r="G144" s="4">
        <v>8</v>
      </c>
      <c r="H144" s="4">
        <v>8</v>
      </c>
      <c r="K144" s="4">
        <v>9</v>
      </c>
      <c r="L144" s="4">
        <v>9</v>
      </c>
      <c r="M144" s="4">
        <v>8</v>
      </c>
      <c r="N144" s="4">
        <v>8</v>
      </c>
      <c r="Q144" s="4">
        <v>8</v>
      </c>
      <c r="R144" s="4">
        <v>8</v>
      </c>
      <c r="W144" s="4">
        <v>9</v>
      </c>
      <c r="X144" s="4">
        <v>9</v>
      </c>
      <c r="AE144" s="4">
        <v>7</v>
      </c>
      <c r="AF144" s="4">
        <v>7</v>
      </c>
      <c r="AG144" s="4">
        <v>8</v>
      </c>
      <c r="AH144" s="4">
        <v>8</v>
      </c>
      <c r="AY144" s="3" t="s">
        <v>18</v>
      </c>
      <c r="AZ144" s="3" t="s">
        <v>18</v>
      </c>
      <c r="BD144" s="3" t="str">
        <f t="shared" si="5"/>
        <v>Moderado</v>
      </c>
      <c r="BE144" s="3" t="str">
        <f t="shared" si="4"/>
        <v>Se mantuvo igual</v>
      </c>
      <c r="BF144" s="3" t="s">
        <v>341</v>
      </c>
      <c r="BG144" s="3" t="s">
        <v>342</v>
      </c>
    </row>
    <row r="145" spans="1:60" x14ac:dyDescent="0.3">
      <c r="A145" s="3" t="s">
        <v>1139</v>
      </c>
      <c r="B145" s="3" t="s">
        <v>16</v>
      </c>
      <c r="C145" s="3">
        <v>15</v>
      </c>
      <c r="D145" s="3">
        <v>10</v>
      </c>
      <c r="G145" s="4">
        <v>10</v>
      </c>
      <c r="H145" s="4">
        <v>9</v>
      </c>
      <c r="K145" s="4">
        <v>9</v>
      </c>
      <c r="L145" s="4">
        <v>9</v>
      </c>
      <c r="M145" s="4">
        <v>10</v>
      </c>
      <c r="N145" s="4">
        <v>10</v>
      </c>
      <c r="Q145" s="4">
        <v>8</v>
      </c>
      <c r="R145" s="4">
        <v>9</v>
      </c>
      <c r="W145" s="4">
        <v>10</v>
      </c>
      <c r="X145" s="4">
        <v>10</v>
      </c>
      <c r="AE145" s="4">
        <v>8</v>
      </c>
      <c r="AF145" s="4">
        <v>9</v>
      </c>
      <c r="AG145" s="4">
        <v>9</v>
      </c>
      <c r="AH145" s="4">
        <v>9</v>
      </c>
      <c r="AY145" s="3" t="s">
        <v>22</v>
      </c>
      <c r="AZ145" s="3" t="s">
        <v>18</v>
      </c>
      <c r="BD145" s="3" t="str">
        <f t="shared" si="5"/>
        <v>Alto</v>
      </c>
      <c r="BE145" s="3" t="s">
        <v>623</v>
      </c>
      <c r="BF145" s="3" t="s">
        <v>343</v>
      </c>
      <c r="BG145" s="3" t="s">
        <v>209</v>
      </c>
      <c r="BH145" s="3" t="s">
        <v>344</v>
      </c>
    </row>
    <row r="146" spans="1:60" x14ac:dyDescent="0.3">
      <c r="A146" s="3" t="s">
        <v>1139</v>
      </c>
      <c r="B146" s="3" t="s">
        <v>26</v>
      </c>
      <c r="C146" s="3">
        <v>15</v>
      </c>
      <c r="D146" s="3">
        <v>9</v>
      </c>
      <c r="G146" s="4">
        <v>2</v>
      </c>
      <c r="H146" s="4">
        <v>6</v>
      </c>
      <c r="K146" s="4">
        <v>4</v>
      </c>
      <c r="L146" s="4">
        <v>7</v>
      </c>
      <c r="M146" s="4">
        <v>9</v>
      </c>
      <c r="N146" s="4">
        <v>9</v>
      </c>
      <c r="Q146" s="4">
        <v>7</v>
      </c>
      <c r="R146" s="4">
        <v>9</v>
      </c>
      <c r="W146" s="4">
        <v>8</v>
      </c>
      <c r="X146" s="4">
        <v>8</v>
      </c>
      <c r="AE146" s="4">
        <v>9</v>
      </c>
      <c r="AF146" s="4">
        <v>9</v>
      </c>
      <c r="AG146" s="4">
        <v>9</v>
      </c>
      <c r="AH146" s="4">
        <v>10</v>
      </c>
      <c r="AY146" s="3" t="s">
        <v>18</v>
      </c>
      <c r="AZ146" s="3" t="s">
        <v>18</v>
      </c>
      <c r="BD146" s="3" t="str">
        <f t="shared" si="5"/>
        <v>Moderado</v>
      </c>
      <c r="BE146" s="3" t="str">
        <f t="shared" si="4"/>
        <v>Se mantuvo igual</v>
      </c>
      <c r="BF146" s="3" t="s">
        <v>345</v>
      </c>
      <c r="BG146" s="3" t="s">
        <v>346</v>
      </c>
    </row>
    <row r="147" spans="1:60" x14ac:dyDescent="0.3">
      <c r="A147" s="3" t="s">
        <v>1139</v>
      </c>
      <c r="B147" s="3" t="s">
        <v>16</v>
      </c>
      <c r="C147" s="3">
        <v>16</v>
      </c>
      <c r="D147" s="3">
        <v>10</v>
      </c>
      <c r="G147" s="4">
        <v>8</v>
      </c>
      <c r="H147" s="4">
        <v>7</v>
      </c>
      <c r="K147" s="4">
        <v>10</v>
      </c>
      <c r="L147" s="4">
        <v>7</v>
      </c>
      <c r="M147" s="4">
        <v>7</v>
      </c>
      <c r="N147" s="4">
        <v>8</v>
      </c>
      <c r="Q147" s="4">
        <v>7</v>
      </c>
      <c r="R147" s="4">
        <v>9</v>
      </c>
      <c r="W147" s="4">
        <v>7</v>
      </c>
      <c r="X147" s="4">
        <v>9</v>
      </c>
      <c r="AE147" s="4">
        <v>9</v>
      </c>
      <c r="AF147" s="4">
        <v>8</v>
      </c>
      <c r="AG147" s="4">
        <v>9</v>
      </c>
      <c r="AH147" s="4">
        <v>8</v>
      </c>
      <c r="AY147" s="3" t="s">
        <v>22</v>
      </c>
      <c r="AZ147" s="3" t="s">
        <v>18</v>
      </c>
      <c r="BD147" s="3" t="str">
        <f t="shared" si="5"/>
        <v>Alto</v>
      </c>
      <c r="BE147" s="3" t="s">
        <v>623</v>
      </c>
      <c r="BF147" s="3" t="s">
        <v>347</v>
      </c>
      <c r="BG147" s="3" t="s">
        <v>348</v>
      </c>
    </row>
    <row r="148" spans="1:60" x14ac:dyDescent="0.3">
      <c r="A148" s="3" t="s">
        <v>1139</v>
      </c>
      <c r="B148" s="3" t="s">
        <v>16</v>
      </c>
      <c r="C148" s="3">
        <v>15</v>
      </c>
      <c r="D148" s="3">
        <v>10</v>
      </c>
      <c r="G148" s="4">
        <v>10</v>
      </c>
      <c r="H148" s="4">
        <v>10</v>
      </c>
      <c r="K148" s="4">
        <v>10</v>
      </c>
      <c r="L148" s="4">
        <v>10</v>
      </c>
      <c r="M148" s="4">
        <v>10</v>
      </c>
      <c r="N148" s="4">
        <v>10</v>
      </c>
      <c r="Q148" s="4">
        <v>10</v>
      </c>
      <c r="R148" s="4">
        <v>10</v>
      </c>
      <c r="W148" s="4">
        <v>10</v>
      </c>
      <c r="X148" s="4">
        <v>10</v>
      </c>
      <c r="AE148" s="4">
        <v>10</v>
      </c>
      <c r="AF148" s="4">
        <v>10</v>
      </c>
      <c r="AG148" s="4">
        <v>10</v>
      </c>
      <c r="AH148" s="4">
        <v>10</v>
      </c>
      <c r="AY148" s="3" t="s">
        <v>17</v>
      </c>
      <c r="BB148" s="3" t="s">
        <v>18</v>
      </c>
      <c r="BC148" s="3" t="s">
        <v>22</v>
      </c>
      <c r="BD148" s="3" t="str">
        <f t="shared" si="5"/>
        <v>Bajo</v>
      </c>
      <c r="BE148" s="3" t="str">
        <f t="shared" si="4"/>
        <v>Se mantuvo igual</v>
      </c>
      <c r="BF148" s="3" t="s">
        <v>349</v>
      </c>
      <c r="BG148" s="3" t="s">
        <v>261</v>
      </c>
    </row>
    <row r="149" spans="1:60" x14ac:dyDescent="0.3">
      <c r="A149" s="3" t="s">
        <v>1139</v>
      </c>
      <c r="B149" s="3" t="s">
        <v>26</v>
      </c>
      <c r="C149" s="3">
        <v>16</v>
      </c>
      <c r="D149" s="3">
        <v>7</v>
      </c>
      <c r="G149" s="4">
        <v>9</v>
      </c>
      <c r="H149" s="4">
        <v>9</v>
      </c>
      <c r="K149" s="4">
        <v>8</v>
      </c>
      <c r="L149" s="4">
        <v>8</v>
      </c>
      <c r="M149" s="4">
        <v>8</v>
      </c>
      <c r="N149" s="4">
        <v>8</v>
      </c>
      <c r="Q149" s="4">
        <v>5</v>
      </c>
      <c r="R149" s="4">
        <v>5</v>
      </c>
      <c r="W149" s="4">
        <v>8</v>
      </c>
      <c r="X149" s="4">
        <v>8</v>
      </c>
      <c r="AE149" s="4">
        <v>9</v>
      </c>
      <c r="AF149" s="4">
        <v>9</v>
      </c>
      <c r="AG149" s="4">
        <v>6</v>
      </c>
      <c r="AH149" s="4">
        <v>6</v>
      </c>
      <c r="AY149" s="3" t="s">
        <v>22</v>
      </c>
      <c r="AZ149" s="3" t="s">
        <v>18</v>
      </c>
      <c r="BA149" s="3" t="s">
        <v>350</v>
      </c>
      <c r="BD149" s="3" t="str">
        <f t="shared" si="5"/>
        <v>Alto</v>
      </c>
      <c r="BE149" s="3" t="s">
        <v>623</v>
      </c>
      <c r="BF149" s="3" t="s">
        <v>351</v>
      </c>
      <c r="BG149" s="3" t="s">
        <v>352</v>
      </c>
      <c r="BH149" s="3" t="s">
        <v>353</v>
      </c>
    </row>
    <row r="150" spans="1:60" x14ac:dyDescent="0.3">
      <c r="A150" s="3" t="s">
        <v>1139</v>
      </c>
      <c r="B150" s="3" t="s">
        <v>26</v>
      </c>
      <c r="C150" s="3">
        <v>16</v>
      </c>
      <c r="D150" s="3">
        <v>6</v>
      </c>
      <c r="G150" s="4">
        <v>9</v>
      </c>
      <c r="H150" s="4">
        <v>7</v>
      </c>
      <c r="K150" s="4">
        <v>8</v>
      </c>
      <c r="L150" s="4">
        <v>8</v>
      </c>
      <c r="M150" s="4">
        <v>10</v>
      </c>
      <c r="N150" s="4">
        <v>10</v>
      </c>
      <c r="Q150" s="4">
        <v>1</v>
      </c>
      <c r="R150" s="4">
        <v>1</v>
      </c>
      <c r="W150" s="4">
        <v>5</v>
      </c>
      <c r="X150" s="4">
        <v>8</v>
      </c>
      <c r="AE150" s="4">
        <v>1</v>
      </c>
      <c r="AF150" s="4">
        <v>1</v>
      </c>
      <c r="AG150" s="4">
        <v>1</v>
      </c>
      <c r="AH150" s="4">
        <v>1</v>
      </c>
      <c r="AY150" s="3" t="s">
        <v>18</v>
      </c>
      <c r="AZ150" s="3" t="s">
        <v>18</v>
      </c>
      <c r="BD150" s="3" t="str">
        <f t="shared" si="5"/>
        <v>Moderado</v>
      </c>
      <c r="BE150" s="3" t="str">
        <f t="shared" si="4"/>
        <v>Se mantuvo igual</v>
      </c>
      <c r="BF150" s="3" t="s">
        <v>354</v>
      </c>
      <c r="BG150" s="3" t="s">
        <v>355</v>
      </c>
      <c r="BH150" s="3" t="s">
        <v>356</v>
      </c>
    </row>
    <row r="151" spans="1:60" x14ac:dyDescent="0.3">
      <c r="A151" s="3" t="s">
        <v>1139</v>
      </c>
      <c r="B151" s="3" t="s">
        <v>16</v>
      </c>
      <c r="C151" s="3">
        <v>15</v>
      </c>
      <c r="D151" s="3">
        <v>8</v>
      </c>
      <c r="G151" s="4">
        <v>9</v>
      </c>
      <c r="H151" s="4">
        <v>9</v>
      </c>
      <c r="K151" s="4">
        <v>8</v>
      </c>
      <c r="L151" s="4">
        <v>8</v>
      </c>
      <c r="M151" s="4">
        <v>7</v>
      </c>
      <c r="N151" s="4">
        <v>7</v>
      </c>
      <c r="Q151" s="4">
        <v>7</v>
      </c>
      <c r="R151" s="4">
        <v>7</v>
      </c>
      <c r="W151" s="4">
        <v>10</v>
      </c>
      <c r="X151" s="4">
        <v>10</v>
      </c>
      <c r="AE151" s="4">
        <v>9</v>
      </c>
      <c r="AF151" s="4">
        <v>9</v>
      </c>
      <c r="AG151" s="4">
        <v>7</v>
      </c>
      <c r="AH151" s="4">
        <v>7</v>
      </c>
      <c r="AY151" s="3" t="s">
        <v>17</v>
      </c>
      <c r="BB151" s="3" t="s">
        <v>18</v>
      </c>
      <c r="BC151" s="3" t="s">
        <v>22</v>
      </c>
      <c r="BD151" s="3" t="str">
        <f t="shared" si="5"/>
        <v>Bajo</v>
      </c>
      <c r="BE151" s="3" t="str">
        <f t="shared" si="4"/>
        <v>Se mantuvo igual</v>
      </c>
      <c r="BF151" s="3" t="s">
        <v>357</v>
      </c>
      <c r="BG151" s="3" t="s">
        <v>358</v>
      </c>
    </row>
    <row r="152" spans="1:60" x14ac:dyDescent="0.3">
      <c r="A152" s="3" t="s">
        <v>1139</v>
      </c>
      <c r="B152" s="3" t="s">
        <v>16</v>
      </c>
      <c r="C152" s="3">
        <v>15</v>
      </c>
      <c r="D152" s="3">
        <v>8</v>
      </c>
      <c r="G152" s="4">
        <v>9</v>
      </c>
      <c r="H152" s="4">
        <v>9</v>
      </c>
      <c r="K152" s="4">
        <v>8</v>
      </c>
      <c r="L152" s="4">
        <v>7</v>
      </c>
      <c r="M152" s="4">
        <v>7</v>
      </c>
      <c r="N152" s="4">
        <v>7</v>
      </c>
      <c r="Q152" s="4">
        <v>7</v>
      </c>
      <c r="R152" s="4">
        <v>7</v>
      </c>
      <c r="W152" s="4">
        <v>10</v>
      </c>
      <c r="X152" s="4">
        <v>10</v>
      </c>
      <c r="AE152" s="4">
        <v>9</v>
      </c>
      <c r="AF152" s="4">
        <v>9</v>
      </c>
      <c r="AG152" s="4">
        <v>7</v>
      </c>
      <c r="AH152" s="4">
        <v>7</v>
      </c>
      <c r="AY152" s="3" t="s">
        <v>17</v>
      </c>
      <c r="BB152" s="3" t="s">
        <v>18</v>
      </c>
      <c r="BC152" s="3" t="s">
        <v>22</v>
      </c>
      <c r="BD152" s="3" t="str">
        <f t="shared" si="5"/>
        <v>Bajo</v>
      </c>
      <c r="BE152" s="3" t="str">
        <f t="shared" si="4"/>
        <v>Se mantuvo igual</v>
      </c>
      <c r="BF152" s="3" t="s">
        <v>341</v>
      </c>
      <c r="BG152" s="3" t="s">
        <v>359</v>
      </c>
    </row>
    <row r="153" spans="1:60" x14ac:dyDescent="0.3">
      <c r="A153" s="3" t="s">
        <v>1139</v>
      </c>
      <c r="B153" s="3" t="s">
        <v>16</v>
      </c>
      <c r="C153" s="3">
        <v>15</v>
      </c>
      <c r="D153" s="3">
        <v>10</v>
      </c>
      <c r="G153" s="4">
        <v>10</v>
      </c>
      <c r="H153" s="4">
        <v>10</v>
      </c>
      <c r="K153" s="4">
        <v>10</v>
      </c>
      <c r="L153" s="4">
        <v>10</v>
      </c>
      <c r="M153" s="4">
        <v>10</v>
      </c>
      <c r="N153" s="4">
        <v>10</v>
      </c>
      <c r="Q153" s="4">
        <v>10</v>
      </c>
      <c r="R153" s="4">
        <v>10</v>
      </c>
      <c r="W153" s="4">
        <v>10</v>
      </c>
      <c r="X153" s="4">
        <v>10</v>
      </c>
      <c r="AE153" s="4">
        <v>7</v>
      </c>
      <c r="AF153" s="4">
        <v>5</v>
      </c>
      <c r="AG153" s="4">
        <v>10</v>
      </c>
      <c r="AH153" s="4">
        <v>10</v>
      </c>
      <c r="AY153" s="3" t="s">
        <v>22</v>
      </c>
      <c r="AZ153" s="3" t="s">
        <v>18</v>
      </c>
      <c r="BD153" s="3" t="str">
        <f t="shared" si="5"/>
        <v>Alto</v>
      </c>
      <c r="BE153" s="3" t="s">
        <v>623</v>
      </c>
      <c r="BF153" s="3" t="s">
        <v>360</v>
      </c>
      <c r="BG153" s="3" t="s">
        <v>93</v>
      </c>
    </row>
    <row r="154" spans="1:60" x14ac:dyDescent="0.3">
      <c r="A154" s="3" t="s">
        <v>1139</v>
      </c>
      <c r="B154" s="3" t="s">
        <v>26</v>
      </c>
      <c r="C154" s="3">
        <v>16</v>
      </c>
      <c r="D154" s="3">
        <v>9</v>
      </c>
      <c r="G154" s="4">
        <v>7</v>
      </c>
      <c r="H154" s="4">
        <v>8</v>
      </c>
      <c r="K154" s="4">
        <v>9</v>
      </c>
      <c r="L154" s="4">
        <v>10</v>
      </c>
      <c r="M154" s="4">
        <v>7</v>
      </c>
      <c r="N154" s="4">
        <v>6</v>
      </c>
      <c r="Q154" s="4">
        <v>7</v>
      </c>
      <c r="R154" s="4">
        <v>8</v>
      </c>
      <c r="W154" s="4">
        <v>8</v>
      </c>
      <c r="X154" s="4">
        <v>7</v>
      </c>
      <c r="AE154" s="4">
        <v>8</v>
      </c>
      <c r="AF154" s="4">
        <v>8</v>
      </c>
      <c r="AG154" s="4">
        <v>8</v>
      </c>
      <c r="AH154" s="4">
        <v>7</v>
      </c>
      <c r="AY154" s="3" t="s">
        <v>22</v>
      </c>
      <c r="AZ154" s="3" t="s">
        <v>18</v>
      </c>
      <c r="BA154" s="3" t="s">
        <v>361</v>
      </c>
      <c r="BD154" s="3" t="str">
        <f t="shared" si="5"/>
        <v>Alto</v>
      </c>
      <c r="BE154" s="3" t="s">
        <v>623</v>
      </c>
      <c r="BF154" s="3" t="s">
        <v>362</v>
      </c>
      <c r="BG154" s="3" t="s">
        <v>363</v>
      </c>
    </row>
    <row r="155" spans="1:60" x14ac:dyDescent="0.3">
      <c r="A155" s="3" t="s">
        <v>1139</v>
      </c>
      <c r="B155" s="3" t="s">
        <v>26</v>
      </c>
      <c r="C155" s="3">
        <v>16</v>
      </c>
      <c r="D155" s="3">
        <v>8</v>
      </c>
      <c r="G155" s="4">
        <v>7</v>
      </c>
      <c r="H155" s="4">
        <v>8</v>
      </c>
      <c r="K155" s="4">
        <v>6</v>
      </c>
      <c r="L155" s="4">
        <v>7</v>
      </c>
      <c r="M155" s="4">
        <v>9</v>
      </c>
      <c r="N155" s="4">
        <v>10</v>
      </c>
      <c r="Q155" s="4">
        <v>5</v>
      </c>
      <c r="R155" s="4">
        <v>5</v>
      </c>
      <c r="W155" s="4">
        <v>5</v>
      </c>
      <c r="X155" s="4">
        <v>5</v>
      </c>
      <c r="AE155" s="4">
        <v>9</v>
      </c>
      <c r="AF155" s="4">
        <v>9</v>
      </c>
      <c r="AG155" s="4">
        <v>7</v>
      </c>
      <c r="AH155" s="4">
        <v>8</v>
      </c>
      <c r="AY155" s="3" t="s">
        <v>18</v>
      </c>
      <c r="AZ155" s="3" t="s">
        <v>18</v>
      </c>
      <c r="BD155" s="3" t="str">
        <f t="shared" si="5"/>
        <v>Moderado</v>
      </c>
      <c r="BE155" s="3" t="str">
        <f t="shared" si="4"/>
        <v>Se mantuvo igual</v>
      </c>
      <c r="BF155" s="3" t="s">
        <v>364</v>
      </c>
      <c r="BG155" s="3" t="s">
        <v>365</v>
      </c>
      <c r="BH155" s="3" t="s">
        <v>366</v>
      </c>
    </row>
    <row r="156" spans="1:60" x14ac:dyDescent="0.3">
      <c r="A156" s="3" t="s">
        <v>1139</v>
      </c>
      <c r="B156" s="3" t="s">
        <v>16</v>
      </c>
      <c r="C156" s="3">
        <v>15</v>
      </c>
      <c r="D156" s="3">
        <v>8</v>
      </c>
      <c r="G156" s="4">
        <v>8</v>
      </c>
      <c r="H156" s="4">
        <v>8</v>
      </c>
      <c r="K156" s="4">
        <v>10</v>
      </c>
      <c r="L156" s="4">
        <v>10</v>
      </c>
      <c r="M156" s="4">
        <v>6</v>
      </c>
      <c r="N156" s="4">
        <v>7</v>
      </c>
      <c r="Q156" s="4">
        <v>8</v>
      </c>
      <c r="R156" s="4">
        <v>8</v>
      </c>
      <c r="W156" s="4">
        <v>5</v>
      </c>
      <c r="X156" s="4">
        <v>7</v>
      </c>
      <c r="AE156" s="4">
        <v>8</v>
      </c>
      <c r="AF156" s="4">
        <v>8</v>
      </c>
      <c r="AG156" s="4">
        <v>7</v>
      </c>
      <c r="AH156" s="4">
        <v>7</v>
      </c>
      <c r="AY156" s="3" t="s">
        <v>22</v>
      </c>
      <c r="AZ156" s="3" t="s">
        <v>18</v>
      </c>
      <c r="BD156" s="3" t="str">
        <f t="shared" si="5"/>
        <v>Alto</v>
      </c>
      <c r="BE156" s="3" t="s">
        <v>623</v>
      </c>
      <c r="BF156" s="3" t="s">
        <v>367</v>
      </c>
      <c r="BG156" s="3" t="s">
        <v>368</v>
      </c>
    </row>
    <row r="157" spans="1:60" x14ac:dyDescent="0.3">
      <c r="A157" s="3" t="s">
        <v>1139</v>
      </c>
      <c r="B157" s="3" t="s">
        <v>26</v>
      </c>
      <c r="C157" s="3">
        <v>17</v>
      </c>
      <c r="D157" s="3">
        <v>10</v>
      </c>
      <c r="E157" s="4">
        <v>10</v>
      </c>
      <c r="F157" s="4">
        <v>10</v>
      </c>
      <c r="I157" s="4">
        <v>5</v>
      </c>
      <c r="J157" s="4">
        <v>5</v>
      </c>
      <c r="K157" s="4">
        <v>10</v>
      </c>
      <c r="L157" s="4">
        <v>10</v>
      </c>
      <c r="M157" s="4">
        <v>10</v>
      </c>
      <c r="N157" s="4">
        <v>10</v>
      </c>
      <c r="U157" s="4">
        <v>10</v>
      </c>
      <c r="V157" s="4">
        <v>10</v>
      </c>
      <c r="Y157" s="4">
        <v>10</v>
      </c>
      <c r="Z157" s="4">
        <v>10</v>
      </c>
      <c r="AC157" s="4">
        <v>10</v>
      </c>
      <c r="AD157" s="4">
        <v>10</v>
      </c>
      <c r="AY157" s="3" t="s">
        <v>18</v>
      </c>
      <c r="AZ157" s="3" t="s">
        <v>22</v>
      </c>
      <c r="BD157" s="3" t="str">
        <f t="shared" si="5"/>
        <v>Moderado</v>
      </c>
      <c r="BE157" s="3" t="str">
        <f t="shared" si="4"/>
        <v>Aumentó</v>
      </c>
      <c r="BF157" s="3" t="s">
        <v>369</v>
      </c>
      <c r="BG157" s="3" t="s">
        <v>370</v>
      </c>
      <c r="BH157" s="3" t="s">
        <v>371</v>
      </c>
    </row>
    <row r="158" spans="1:60" x14ac:dyDescent="0.3">
      <c r="A158" s="3" t="s">
        <v>1139</v>
      </c>
      <c r="B158" s="3" t="s">
        <v>26</v>
      </c>
      <c r="C158" s="3">
        <v>17</v>
      </c>
      <c r="D158" s="3">
        <v>10</v>
      </c>
      <c r="E158" s="4">
        <v>10</v>
      </c>
      <c r="F158" s="4">
        <v>10</v>
      </c>
      <c r="I158" s="4">
        <v>1</v>
      </c>
      <c r="J158" s="4">
        <v>1</v>
      </c>
      <c r="K158" s="4">
        <v>10</v>
      </c>
      <c r="L158" s="4">
        <v>10</v>
      </c>
      <c r="M158" s="4">
        <v>10</v>
      </c>
      <c r="N158" s="4">
        <v>10</v>
      </c>
      <c r="U158" s="4">
        <v>10</v>
      </c>
      <c r="V158" s="4">
        <v>10</v>
      </c>
      <c r="Y158" s="4">
        <v>10</v>
      </c>
      <c r="Z158" s="4">
        <v>10</v>
      </c>
      <c r="AC158" s="4">
        <v>10</v>
      </c>
      <c r="AD158" s="4">
        <v>10</v>
      </c>
      <c r="AY158" s="3" t="s">
        <v>17</v>
      </c>
      <c r="BB158" s="3" t="s">
        <v>17</v>
      </c>
      <c r="BC158" s="3" t="s">
        <v>22</v>
      </c>
      <c r="BD158" s="3" t="str">
        <f t="shared" si="5"/>
        <v>Bajo</v>
      </c>
      <c r="BE158" s="3" t="str">
        <f t="shared" si="4"/>
        <v>Se mantuvo igual</v>
      </c>
      <c r="BF158" s="3" t="s">
        <v>372</v>
      </c>
      <c r="BG158" s="3" t="s">
        <v>373</v>
      </c>
    </row>
    <row r="159" spans="1:60" x14ac:dyDescent="0.3">
      <c r="A159" s="3" t="s">
        <v>1139</v>
      </c>
      <c r="B159" s="3" t="s">
        <v>26</v>
      </c>
      <c r="C159" s="3">
        <v>17</v>
      </c>
      <c r="D159" s="3">
        <v>8</v>
      </c>
      <c r="E159" s="4">
        <v>8</v>
      </c>
      <c r="F159" s="4">
        <v>8</v>
      </c>
      <c r="I159" s="4">
        <v>7</v>
      </c>
      <c r="J159" s="4">
        <v>8</v>
      </c>
      <c r="K159" s="4">
        <v>8</v>
      </c>
      <c r="L159" s="4">
        <v>7</v>
      </c>
      <c r="M159" s="4">
        <v>6</v>
      </c>
      <c r="N159" s="4">
        <v>6</v>
      </c>
      <c r="U159" s="4">
        <v>10</v>
      </c>
      <c r="V159" s="4">
        <v>10</v>
      </c>
      <c r="Y159" s="4">
        <v>10</v>
      </c>
      <c r="Z159" s="4">
        <v>8</v>
      </c>
      <c r="AC159" s="4">
        <v>6</v>
      </c>
      <c r="AD159" s="4">
        <v>6</v>
      </c>
      <c r="AY159" s="3" t="s">
        <v>18</v>
      </c>
      <c r="AZ159" s="3" t="s">
        <v>22</v>
      </c>
      <c r="BD159" s="3" t="str">
        <f t="shared" si="5"/>
        <v>Moderado</v>
      </c>
      <c r="BE159" s="3" t="str">
        <f t="shared" si="4"/>
        <v>Aumentó</v>
      </c>
      <c r="BF159" s="3" t="s">
        <v>178</v>
      </c>
      <c r="BG159" s="3" t="s">
        <v>374</v>
      </c>
    </row>
    <row r="160" spans="1:60" x14ac:dyDescent="0.3">
      <c r="A160" s="3" t="s">
        <v>1139</v>
      </c>
      <c r="B160" s="3" t="s">
        <v>26</v>
      </c>
      <c r="C160" s="3">
        <v>18</v>
      </c>
      <c r="D160" s="3">
        <v>10</v>
      </c>
      <c r="E160" s="4">
        <v>10</v>
      </c>
      <c r="F160" s="4">
        <v>10</v>
      </c>
      <c r="I160" s="4">
        <v>1</v>
      </c>
      <c r="J160" s="4">
        <v>1</v>
      </c>
      <c r="K160" s="4">
        <v>10</v>
      </c>
      <c r="L160" s="4">
        <v>10</v>
      </c>
      <c r="M160" s="4">
        <v>10</v>
      </c>
      <c r="N160" s="4">
        <v>10</v>
      </c>
      <c r="U160" s="4">
        <v>10</v>
      </c>
      <c r="V160" s="4">
        <v>10</v>
      </c>
      <c r="Y160" s="4">
        <v>10</v>
      </c>
      <c r="Z160" s="4">
        <v>10</v>
      </c>
      <c r="AC160" s="4">
        <v>10</v>
      </c>
      <c r="AD160" s="4">
        <v>10</v>
      </c>
      <c r="AY160" s="3" t="s">
        <v>22</v>
      </c>
      <c r="AZ160" s="3" t="s">
        <v>22</v>
      </c>
      <c r="BD160" s="3" t="str">
        <f t="shared" si="5"/>
        <v>Alto</v>
      </c>
      <c r="BE160" s="3" t="str">
        <f t="shared" si="4"/>
        <v>Aumentó</v>
      </c>
      <c r="BF160" s="3" t="s">
        <v>375</v>
      </c>
      <c r="BG160" s="3" t="s">
        <v>376</v>
      </c>
    </row>
    <row r="161" spans="1:62" x14ac:dyDescent="0.3">
      <c r="A161" s="3" t="s">
        <v>1139</v>
      </c>
      <c r="B161" s="3" t="s">
        <v>26</v>
      </c>
      <c r="C161" s="3">
        <v>17</v>
      </c>
      <c r="D161" s="3">
        <v>10</v>
      </c>
      <c r="E161" s="4">
        <v>8</v>
      </c>
      <c r="F161" s="4">
        <v>8</v>
      </c>
      <c r="I161" s="4">
        <v>10</v>
      </c>
      <c r="J161" s="4">
        <v>10</v>
      </c>
      <c r="K161" s="4">
        <v>8</v>
      </c>
      <c r="L161" s="4">
        <v>9</v>
      </c>
      <c r="M161" s="4">
        <v>7</v>
      </c>
      <c r="N161" s="4">
        <v>7</v>
      </c>
      <c r="U161" s="4">
        <v>10</v>
      </c>
      <c r="V161" s="4">
        <v>9</v>
      </c>
      <c r="Y161" s="4">
        <v>8</v>
      </c>
      <c r="Z161" s="4">
        <v>8</v>
      </c>
      <c r="AC161" s="4">
        <v>9</v>
      </c>
      <c r="AD161" s="4">
        <v>9</v>
      </c>
      <c r="AY161" s="3" t="s">
        <v>22</v>
      </c>
      <c r="AZ161" s="3" t="s">
        <v>22</v>
      </c>
      <c r="BD161" s="3" t="str">
        <f t="shared" si="5"/>
        <v>Alto</v>
      </c>
      <c r="BE161" s="3" t="str">
        <f t="shared" si="4"/>
        <v>Aumentó</v>
      </c>
      <c r="BF161" s="3" t="s">
        <v>376</v>
      </c>
      <c r="BG161" s="3" t="s">
        <v>377</v>
      </c>
      <c r="BH161" s="3" t="s">
        <v>209</v>
      </c>
    </row>
    <row r="162" spans="1:62" x14ac:dyDescent="0.3">
      <c r="A162" s="3" t="s">
        <v>1139</v>
      </c>
      <c r="B162" s="3" t="s">
        <v>26</v>
      </c>
      <c r="C162" s="3">
        <v>17</v>
      </c>
      <c r="D162" s="3">
        <v>10</v>
      </c>
      <c r="E162" s="4">
        <v>10</v>
      </c>
      <c r="F162" s="4">
        <v>10</v>
      </c>
      <c r="I162" s="4">
        <v>5</v>
      </c>
      <c r="J162" s="4">
        <v>5</v>
      </c>
      <c r="K162" s="4">
        <v>10</v>
      </c>
      <c r="L162" s="4">
        <v>10</v>
      </c>
      <c r="M162" s="4">
        <v>10</v>
      </c>
      <c r="N162" s="4">
        <v>10</v>
      </c>
      <c r="U162" s="4">
        <v>10</v>
      </c>
      <c r="V162" s="4">
        <v>10</v>
      </c>
      <c r="Y162" s="4">
        <v>10</v>
      </c>
      <c r="Z162" s="4">
        <v>10</v>
      </c>
      <c r="AC162" s="4">
        <v>10</v>
      </c>
      <c r="AD162" s="4">
        <v>10</v>
      </c>
      <c r="AY162" s="3" t="s">
        <v>18</v>
      </c>
      <c r="AZ162" s="3" t="s">
        <v>22</v>
      </c>
      <c r="BD162" s="3" t="str">
        <f t="shared" si="5"/>
        <v>Moderado</v>
      </c>
      <c r="BE162" s="3" t="str">
        <f t="shared" si="4"/>
        <v>Aumentó</v>
      </c>
      <c r="BF162" s="3" t="s">
        <v>378</v>
      </c>
      <c r="BG162" s="3" t="s">
        <v>376</v>
      </c>
    </row>
    <row r="163" spans="1:62" ht="7.8" customHeight="1" x14ac:dyDescent="0.3">
      <c r="A163" s="3" t="s">
        <v>1139</v>
      </c>
      <c r="B163" s="3" t="s">
        <v>26</v>
      </c>
      <c r="C163" s="3">
        <v>17</v>
      </c>
      <c r="D163" s="3">
        <v>9</v>
      </c>
      <c r="E163" s="4">
        <v>10</v>
      </c>
      <c r="F163" s="4">
        <v>9</v>
      </c>
      <c r="I163" s="4">
        <v>9</v>
      </c>
      <c r="J163" s="4">
        <v>10</v>
      </c>
      <c r="K163" s="4">
        <v>9</v>
      </c>
      <c r="L163" s="4">
        <v>9</v>
      </c>
      <c r="M163" s="4">
        <v>9</v>
      </c>
      <c r="N163" s="4">
        <v>10</v>
      </c>
      <c r="U163" s="4">
        <v>10</v>
      </c>
      <c r="V163" s="4">
        <v>10</v>
      </c>
      <c r="Y163" s="4">
        <v>9</v>
      </c>
      <c r="Z163" s="4">
        <v>10</v>
      </c>
      <c r="AC163" s="4">
        <v>9</v>
      </c>
      <c r="AD163" s="4">
        <v>10</v>
      </c>
      <c r="AY163" s="3" t="s">
        <v>18</v>
      </c>
      <c r="AZ163" s="3" t="s">
        <v>22</v>
      </c>
      <c r="BD163" s="3" t="str">
        <f t="shared" si="5"/>
        <v>Moderado</v>
      </c>
      <c r="BE163" s="3" t="str">
        <f t="shared" si="4"/>
        <v>Aumentó</v>
      </c>
      <c r="BF163" s="3" t="s">
        <v>160</v>
      </c>
      <c r="BG163" s="3" t="s">
        <v>178</v>
      </c>
    </row>
    <row r="164" spans="1:62" x14ac:dyDescent="0.3">
      <c r="A164" s="3" t="s">
        <v>1139</v>
      </c>
      <c r="B164" s="3" t="s">
        <v>26</v>
      </c>
      <c r="C164" s="3">
        <v>17</v>
      </c>
      <c r="D164" s="3">
        <v>10</v>
      </c>
      <c r="E164" s="4">
        <v>10</v>
      </c>
      <c r="F164" s="4">
        <v>10</v>
      </c>
      <c r="I164" s="4">
        <v>10</v>
      </c>
      <c r="J164" s="4">
        <v>10</v>
      </c>
      <c r="K164" s="4">
        <v>10</v>
      </c>
      <c r="L164" s="4">
        <v>10</v>
      </c>
      <c r="M164" s="4">
        <v>10</v>
      </c>
      <c r="N164" s="4">
        <v>6</v>
      </c>
      <c r="U164" s="4">
        <v>10</v>
      </c>
      <c r="V164" s="4">
        <v>10</v>
      </c>
      <c r="Y164" s="4">
        <v>10</v>
      </c>
      <c r="Z164" s="4">
        <v>10</v>
      </c>
      <c r="AC164" s="4">
        <v>10</v>
      </c>
      <c r="AD164" s="4">
        <v>10</v>
      </c>
      <c r="AY164" s="3" t="s">
        <v>17</v>
      </c>
      <c r="BB164" s="3" t="s">
        <v>22</v>
      </c>
      <c r="BC164" s="3" t="s">
        <v>22</v>
      </c>
      <c r="BD164" s="3" t="str">
        <f t="shared" si="5"/>
        <v>Bajo</v>
      </c>
      <c r="BE164" s="3" t="str">
        <f t="shared" si="4"/>
        <v>Se mantuvo igual</v>
      </c>
      <c r="BF164" s="3" t="s">
        <v>379</v>
      </c>
      <c r="BG164" s="3" t="s">
        <v>222</v>
      </c>
      <c r="BH164" s="3" t="s">
        <v>47</v>
      </c>
    </row>
    <row r="165" spans="1:62" x14ac:dyDescent="0.3">
      <c r="A165" s="3" t="s">
        <v>1139</v>
      </c>
      <c r="B165" s="3" t="s">
        <v>26</v>
      </c>
      <c r="C165" s="3">
        <v>17</v>
      </c>
      <c r="D165" s="3">
        <v>10</v>
      </c>
      <c r="E165" s="4">
        <v>10</v>
      </c>
      <c r="F165" s="4">
        <v>10</v>
      </c>
      <c r="I165" s="4">
        <v>9</v>
      </c>
      <c r="J165" s="4">
        <v>9</v>
      </c>
      <c r="K165" s="4">
        <v>10</v>
      </c>
      <c r="L165" s="4">
        <v>10</v>
      </c>
      <c r="M165" s="4">
        <v>10</v>
      </c>
      <c r="N165" s="4">
        <v>9</v>
      </c>
      <c r="U165" s="4">
        <v>10</v>
      </c>
      <c r="V165" s="4">
        <v>10</v>
      </c>
      <c r="Y165" s="4">
        <v>10</v>
      </c>
      <c r="Z165" s="4">
        <v>10</v>
      </c>
      <c r="AC165" s="4">
        <v>9</v>
      </c>
      <c r="AD165" s="4">
        <v>9</v>
      </c>
      <c r="AY165" s="3" t="s">
        <v>18</v>
      </c>
      <c r="AZ165" s="3" t="s">
        <v>18</v>
      </c>
      <c r="BA165" s="3" t="s">
        <v>380</v>
      </c>
      <c r="BD165" s="3" t="str">
        <f t="shared" si="5"/>
        <v>Moderado</v>
      </c>
      <c r="BE165" s="3" t="str">
        <f t="shared" si="4"/>
        <v>Se mantuvo igual</v>
      </c>
      <c r="BF165" s="3" t="s">
        <v>30</v>
      </c>
      <c r="BG165" s="3" t="s">
        <v>358</v>
      </c>
      <c r="BH165" s="3" t="s">
        <v>358</v>
      </c>
    </row>
    <row r="166" spans="1:62" x14ac:dyDescent="0.3">
      <c r="A166" s="3" t="s">
        <v>1139</v>
      </c>
      <c r="B166" s="3" t="s">
        <v>26</v>
      </c>
      <c r="C166" s="3">
        <v>17</v>
      </c>
      <c r="D166" s="3">
        <v>10</v>
      </c>
      <c r="E166" s="4">
        <v>8</v>
      </c>
      <c r="F166" s="4">
        <v>9</v>
      </c>
      <c r="I166" s="4">
        <v>9</v>
      </c>
      <c r="J166" s="4">
        <v>10</v>
      </c>
      <c r="K166" s="4">
        <v>8</v>
      </c>
      <c r="L166" s="4">
        <v>9</v>
      </c>
      <c r="M166" s="4">
        <v>10</v>
      </c>
      <c r="N166" s="4">
        <v>10</v>
      </c>
      <c r="U166" s="4">
        <v>9</v>
      </c>
      <c r="V166" s="4">
        <v>10</v>
      </c>
      <c r="Y166" s="4">
        <v>10</v>
      </c>
      <c r="Z166" s="4">
        <v>10</v>
      </c>
      <c r="AC166" s="4">
        <v>9</v>
      </c>
      <c r="AD166" s="4">
        <v>10</v>
      </c>
      <c r="AY166" s="3" t="s">
        <v>18</v>
      </c>
      <c r="AZ166" s="3" t="s">
        <v>22</v>
      </c>
      <c r="BD166" s="3" t="str">
        <f t="shared" si="5"/>
        <v>Moderado</v>
      </c>
      <c r="BE166" s="3" t="str">
        <f t="shared" si="4"/>
        <v>Aumentó</v>
      </c>
      <c r="BF166" s="3" t="s">
        <v>381</v>
      </c>
      <c r="BG166" s="3" t="s">
        <v>382</v>
      </c>
      <c r="BH166" s="3" t="s">
        <v>383</v>
      </c>
    </row>
    <row r="167" spans="1:62" x14ac:dyDescent="0.3">
      <c r="A167" s="3" t="s">
        <v>1139</v>
      </c>
      <c r="B167" s="3" t="s">
        <v>26</v>
      </c>
      <c r="C167" s="3">
        <v>17</v>
      </c>
      <c r="D167" s="3">
        <v>10</v>
      </c>
      <c r="E167" s="4">
        <v>10</v>
      </c>
      <c r="F167" s="4">
        <v>10</v>
      </c>
      <c r="I167" s="4">
        <v>10</v>
      </c>
      <c r="J167" s="4">
        <v>9</v>
      </c>
      <c r="K167" s="4">
        <v>10</v>
      </c>
      <c r="L167" s="4">
        <v>10</v>
      </c>
      <c r="M167" s="4">
        <v>10</v>
      </c>
      <c r="N167" s="4">
        <v>10</v>
      </c>
      <c r="U167" s="4">
        <v>10</v>
      </c>
      <c r="V167" s="4">
        <v>10</v>
      </c>
      <c r="Y167" s="4">
        <v>9</v>
      </c>
      <c r="Z167" s="4">
        <v>9</v>
      </c>
      <c r="AC167" s="4">
        <v>9</v>
      </c>
      <c r="AD167" s="4">
        <v>9</v>
      </c>
      <c r="AY167" s="3" t="s">
        <v>22</v>
      </c>
      <c r="AZ167" s="3" t="s">
        <v>22</v>
      </c>
      <c r="BA167" s="3" t="s">
        <v>28</v>
      </c>
      <c r="BD167" s="3" t="str">
        <f t="shared" si="5"/>
        <v>Alto</v>
      </c>
      <c r="BE167" s="3" t="str">
        <f t="shared" si="4"/>
        <v>Aumentó</v>
      </c>
      <c r="BF167" s="3" t="s">
        <v>98</v>
      </c>
      <c r="BG167" s="3" t="s">
        <v>384</v>
      </c>
      <c r="BH167" s="3" t="s">
        <v>91</v>
      </c>
    </row>
    <row r="168" spans="1:62" x14ac:dyDescent="0.3">
      <c r="A168" s="3" t="s">
        <v>1139</v>
      </c>
      <c r="B168" s="3" t="s">
        <v>26</v>
      </c>
      <c r="C168" s="3">
        <v>17</v>
      </c>
      <c r="D168" s="3">
        <v>9</v>
      </c>
      <c r="E168" s="4">
        <v>10</v>
      </c>
      <c r="F168" s="4">
        <v>10</v>
      </c>
      <c r="I168" s="4">
        <v>5</v>
      </c>
      <c r="J168" s="4">
        <v>8</v>
      </c>
      <c r="K168" s="4">
        <v>10</v>
      </c>
      <c r="L168" s="4">
        <v>10</v>
      </c>
      <c r="M168" s="4">
        <v>8</v>
      </c>
      <c r="N168" s="4">
        <v>8</v>
      </c>
      <c r="U168" s="4">
        <v>9</v>
      </c>
      <c r="V168" s="4">
        <v>8</v>
      </c>
      <c r="Y168" s="4">
        <v>9</v>
      </c>
      <c r="Z168" s="4">
        <v>9</v>
      </c>
      <c r="AC168" s="4">
        <v>9</v>
      </c>
      <c r="AD168" s="4">
        <v>9</v>
      </c>
      <c r="AY168" s="3" t="s">
        <v>22</v>
      </c>
      <c r="AZ168" s="3" t="s">
        <v>17</v>
      </c>
      <c r="BA168" s="3" t="s">
        <v>385</v>
      </c>
      <c r="BD168" s="3" t="str">
        <f t="shared" si="5"/>
        <v>Alto</v>
      </c>
      <c r="BE168" s="3" t="s">
        <v>623</v>
      </c>
      <c r="BF168" s="3" t="s">
        <v>98</v>
      </c>
      <c r="BG168" s="3" t="s">
        <v>28</v>
      </c>
      <c r="BH168" s="3" t="s">
        <v>28</v>
      </c>
    </row>
    <row r="169" spans="1:62" x14ac:dyDescent="0.3">
      <c r="A169" s="3" t="s">
        <v>1139</v>
      </c>
      <c r="B169" s="3" t="s">
        <v>191</v>
      </c>
      <c r="C169" s="3">
        <v>17</v>
      </c>
      <c r="D169" s="3">
        <v>10</v>
      </c>
      <c r="E169" s="4">
        <v>10</v>
      </c>
      <c r="F169" s="4">
        <v>10</v>
      </c>
      <c r="I169" s="4">
        <v>9</v>
      </c>
      <c r="J169" s="4">
        <v>10</v>
      </c>
      <c r="K169" s="4">
        <v>8</v>
      </c>
      <c r="L169" s="4">
        <v>10</v>
      </c>
      <c r="M169" s="4">
        <v>10</v>
      </c>
      <c r="N169" s="4">
        <v>10</v>
      </c>
      <c r="U169" s="4">
        <v>10</v>
      </c>
      <c r="V169" s="4">
        <v>9</v>
      </c>
      <c r="Y169" s="4">
        <v>10</v>
      </c>
      <c r="Z169" s="4">
        <v>10</v>
      </c>
      <c r="AC169" s="4">
        <v>5</v>
      </c>
      <c r="AD169" s="4">
        <v>5</v>
      </c>
      <c r="AY169" s="3" t="s">
        <v>18</v>
      </c>
      <c r="AZ169" s="3" t="s">
        <v>18</v>
      </c>
      <c r="BD169" s="3" t="str">
        <f t="shared" si="5"/>
        <v>Moderado</v>
      </c>
      <c r="BE169" s="3" t="str">
        <f t="shared" si="4"/>
        <v>Se mantuvo igual</v>
      </c>
      <c r="BF169" s="3" t="s">
        <v>386</v>
      </c>
      <c r="BG169" s="3" t="s">
        <v>358</v>
      </c>
      <c r="BH169" s="3" t="s">
        <v>387</v>
      </c>
    </row>
    <row r="170" spans="1:62" x14ac:dyDescent="0.3">
      <c r="A170" s="3" t="s">
        <v>1139</v>
      </c>
      <c r="B170" s="3" t="s">
        <v>26</v>
      </c>
      <c r="C170" s="3">
        <v>17</v>
      </c>
      <c r="D170" s="3">
        <v>10</v>
      </c>
      <c r="E170" s="4">
        <v>9</v>
      </c>
      <c r="F170" s="4">
        <v>9</v>
      </c>
      <c r="I170" s="4">
        <v>10</v>
      </c>
      <c r="J170" s="4">
        <v>10</v>
      </c>
      <c r="K170" s="4">
        <v>10</v>
      </c>
      <c r="L170" s="4">
        <v>10</v>
      </c>
      <c r="M170" s="4">
        <v>10</v>
      </c>
      <c r="N170" s="4">
        <v>10</v>
      </c>
      <c r="U170" s="4">
        <v>10</v>
      </c>
      <c r="V170" s="4">
        <v>10</v>
      </c>
      <c r="Y170" s="4">
        <v>10</v>
      </c>
      <c r="Z170" s="4">
        <v>10</v>
      </c>
      <c r="AC170" s="4">
        <v>9</v>
      </c>
      <c r="AD170" s="4">
        <v>9</v>
      </c>
      <c r="AY170" s="3" t="s">
        <v>22</v>
      </c>
      <c r="AZ170" s="3" t="s">
        <v>22</v>
      </c>
      <c r="BD170" s="3" t="str">
        <f t="shared" si="5"/>
        <v>Alto</v>
      </c>
      <c r="BE170" s="3" t="str">
        <f t="shared" si="4"/>
        <v>Aumentó</v>
      </c>
      <c r="BF170" s="3" t="s">
        <v>388</v>
      </c>
      <c r="BG170" s="3" t="s">
        <v>389</v>
      </c>
      <c r="BH170" s="3" t="s">
        <v>390</v>
      </c>
    </row>
    <row r="171" spans="1:62" x14ac:dyDescent="0.3">
      <c r="A171" s="3" t="s">
        <v>1139</v>
      </c>
      <c r="B171" s="3" t="s">
        <v>26</v>
      </c>
      <c r="C171" s="3">
        <v>17</v>
      </c>
      <c r="D171" s="3">
        <v>9</v>
      </c>
      <c r="G171" s="4">
        <v>9</v>
      </c>
      <c r="H171" s="4">
        <v>9</v>
      </c>
      <c r="I171" s="4">
        <v>10</v>
      </c>
      <c r="J171" s="4">
        <v>10</v>
      </c>
      <c r="K171" s="4">
        <v>10</v>
      </c>
      <c r="L171" s="4">
        <v>10</v>
      </c>
      <c r="M171" s="4">
        <v>10</v>
      </c>
      <c r="N171" s="4">
        <v>10</v>
      </c>
      <c r="AY171" s="3" t="s">
        <v>18</v>
      </c>
      <c r="AZ171" s="3" t="s">
        <v>18</v>
      </c>
      <c r="BD171" s="3" t="str">
        <f t="shared" si="5"/>
        <v>Moderado</v>
      </c>
      <c r="BE171" s="3" t="str">
        <f t="shared" si="4"/>
        <v>Se mantuvo igual</v>
      </c>
      <c r="BF171" s="3" t="s">
        <v>391</v>
      </c>
      <c r="BG171" s="3" t="s">
        <v>392</v>
      </c>
      <c r="BI171" s="3">
        <v>10</v>
      </c>
      <c r="BJ171" s="3">
        <v>10</v>
      </c>
    </row>
    <row r="172" spans="1:62" x14ac:dyDescent="0.3">
      <c r="A172" s="3" t="s">
        <v>1139</v>
      </c>
      <c r="B172" s="3" t="s">
        <v>26</v>
      </c>
      <c r="C172" s="3">
        <v>18</v>
      </c>
      <c r="D172" s="3">
        <v>10</v>
      </c>
      <c r="G172" s="4">
        <v>8</v>
      </c>
      <c r="H172" s="4">
        <v>10</v>
      </c>
      <c r="I172" s="4">
        <v>10</v>
      </c>
      <c r="J172" s="4">
        <v>10</v>
      </c>
      <c r="K172" s="4">
        <v>10</v>
      </c>
      <c r="L172" s="4">
        <v>10</v>
      </c>
      <c r="M172" s="4">
        <v>10</v>
      </c>
      <c r="N172" s="4">
        <v>10</v>
      </c>
      <c r="AY172" s="3" t="s">
        <v>18</v>
      </c>
      <c r="AZ172" s="3" t="s">
        <v>18</v>
      </c>
      <c r="BD172" s="3" t="str">
        <f t="shared" si="5"/>
        <v>Moderado</v>
      </c>
      <c r="BE172" s="3" t="str">
        <f t="shared" si="4"/>
        <v>Se mantuvo igual</v>
      </c>
      <c r="BF172" s="3" t="s">
        <v>393</v>
      </c>
      <c r="BG172" s="3" t="s">
        <v>394</v>
      </c>
      <c r="BI172" s="3">
        <v>10</v>
      </c>
      <c r="BJ172" s="3">
        <v>10</v>
      </c>
    </row>
    <row r="173" spans="1:62" x14ac:dyDescent="0.3">
      <c r="A173" s="3" t="s">
        <v>1139</v>
      </c>
      <c r="B173" s="3" t="s">
        <v>26</v>
      </c>
      <c r="C173" s="3">
        <v>17</v>
      </c>
      <c r="D173" s="3">
        <v>10</v>
      </c>
      <c r="G173" s="4">
        <v>10</v>
      </c>
      <c r="H173" s="4">
        <v>10</v>
      </c>
      <c r="I173" s="4">
        <v>10</v>
      </c>
      <c r="J173" s="4">
        <v>10</v>
      </c>
      <c r="K173" s="4">
        <v>10</v>
      </c>
      <c r="L173" s="4">
        <v>10</v>
      </c>
      <c r="M173" s="4">
        <v>10</v>
      </c>
      <c r="N173" s="4">
        <v>10</v>
      </c>
      <c r="AY173" s="3" t="s">
        <v>18</v>
      </c>
      <c r="AZ173" s="3" t="s">
        <v>22</v>
      </c>
      <c r="BD173" s="3" t="str">
        <f t="shared" si="5"/>
        <v>Moderado</v>
      </c>
      <c r="BE173" s="3" t="str">
        <f t="shared" si="4"/>
        <v>Aumentó</v>
      </c>
      <c r="BF173" s="3" t="s">
        <v>395</v>
      </c>
      <c r="BG173" s="3" t="s">
        <v>396</v>
      </c>
      <c r="BH173" s="3" t="s">
        <v>397</v>
      </c>
      <c r="BI173" s="3">
        <v>10</v>
      </c>
      <c r="BJ173" s="3">
        <v>10</v>
      </c>
    </row>
    <row r="174" spans="1:62" x14ac:dyDescent="0.3">
      <c r="A174" s="3" t="s">
        <v>1139</v>
      </c>
      <c r="B174" s="3" t="s">
        <v>191</v>
      </c>
      <c r="C174" s="3">
        <v>17</v>
      </c>
      <c r="D174" s="3">
        <v>10</v>
      </c>
      <c r="G174" s="4">
        <v>8</v>
      </c>
      <c r="H174" s="4">
        <v>8</v>
      </c>
      <c r="I174" s="4">
        <v>10</v>
      </c>
      <c r="J174" s="4">
        <v>10</v>
      </c>
      <c r="K174" s="4">
        <v>10</v>
      </c>
      <c r="L174" s="4">
        <v>10</v>
      </c>
      <c r="M174" s="4">
        <v>10</v>
      </c>
      <c r="N174" s="4">
        <v>9</v>
      </c>
      <c r="AY174" s="3" t="s">
        <v>22</v>
      </c>
      <c r="AZ174" s="3" t="s">
        <v>22</v>
      </c>
      <c r="BD174" s="3" t="str">
        <f t="shared" si="5"/>
        <v>Alto</v>
      </c>
      <c r="BE174" s="3" t="str">
        <f t="shared" si="4"/>
        <v>Aumentó</v>
      </c>
      <c r="BF174" s="3" t="s">
        <v>398</v>
      </c>
      <c r="BG174" s="3" t="s">
        <v>399</v>
      </c>
      <c r="BH174" s="3" t="s">
        <v>400</v>
      </c>
      <c r="BI174" s="3">
        <v>10</v>
      </c>
      <c r="BJ174" s="3">
        <v>10</v>
      </c>
    </row>
    <row r="175" spans="1:62" x14ac:dyDescent="0.3">
      <c r="A175" s="3" t="s">
        <v>1139</v>
      </c>
      <c r="B175" s="3" t="s">
        <v>26</v>
      </c>
      <c r="C175" s="3">
        <v>17</v>
      </c>
      <c r="D175" s="3">
        <v>10</v>
      </c>
      <c r="G175" s="4">
        <v>10</v>
      </c>
      <c r="H175" s="4">
        <v>10</v>
      </c>
      <c r="I175" s="4">
        <v>10</v>
      </c>
      <c r="J175" s="4">
        <v>10</v>
      </c>
      <c r="K175" s="4">
        <v>10</v>
      </c>
      <c r="L175" s="4">
        <v>9</v>
      </c>
      <c r="M175" s="4">
        <v>10</v>
      </c>
      <c r="N175" s="4">
        <v>10</v>
      </c>
      <c r="AY175" s="3" t="s">
        <v>22</v>
      </c>
      <c r="AZ175" s="3" t="s">
        <v>18</v>
      </c>
      <c r="BD175" s="3" t="str">
        <f t="shared" si="5"/>
        <v>Alto</v>
      </c>
      <c r="BE175" s="3" t="s">
        <v>623</v>
      </c>
      <c r="BF175" s="3" t="s">
        <v>401</v>
      </c>
      <c r="BG175" s="3" t="s">
        <v>402</v>
      </c>
      <c r="BI175" s="3">
        <v>10</v>
      </c>
      <c r="BJ175" s="3">
        <v>10</v>
      </c>
    </row>
    <row r="176" spans="1:62" x14ac:dyDescent="0.3">
      <c r="A176" s="3" t="s">
        <v>1139</v>
      </c>
      <c r="B176" s="3" t="s">
        <v>26</v>
      </c>
      <c r="C176" s="3">
        <v>17</v>
      </c>
      <c r="D176" s="3">
        <v>10</v>
      </c>
      <c r="G176" s="4">
        <v>10</v>
      </c>
      <c r="H176" s="4">
        <v>10</v>
      </c>
      <c r="I176" s="4">
        <v>10</v>
      </c>
      <c r="J176" s="4">
        <v>10</v>
      </c>
      <c r="K176" s="4">
        <v>10</v>
      </c>
      <c r="L176" s="4">
        <v>10</v>
      </c>
      <c r="M176" s="4">
        <v>10</v>
      </c>
      <c r="N176" s="4">
        <v>10</v>
      </c>
      <c r="AY176" s="3" t="s">
        <v>22</v>
      </c>
      <c r="AZ176" s="3" t="s">
        <v>22</v>
      </c>
      <c r="BD176" s="3" t="str">
        <f t="shared" si="5"/>
        <v>Alto</v>
      </c>
      <c r="BE176" s="3" t="str">
        <f t="shared" si="4"/>
        <v>Aumentó</v>
      </c>
      <c r="BF176" s="3" t="s">
        <v>403</v>
      </c>
      <c r="BG176" s="3" t="s">
        <v>404</v>
      </c>
      <c r="BI176" s="3">
        <v>9</v>
      </c>
      <c r="BJ176" s="3">
        <v>9</v>
      </c>
    </row>
    <row r="177" spans="1:62" x14ac:dyDescent="0.3">
      <c r="A177" s="3" t="s">
        <v>1139</v>
      </c>
      <c r="B177" s="3" t="s">
        <v>26</v>
      </c>
      <c r="C177" s="3">
        <v>18</v>
      </c>
      <c r="D177" s="3">
        <v>10</v>
      </c>
      <c r="G177" s="4">
        <v>7</v>
      </c>
      <c r="H177" s="4">
        <v>8</v>
      </c>
      <c r="I177" s="4">
        <v>10</v>
      </c>
      <c r="J177" s="4">
        <v>10</v>
      </c>
      <c r="K177" s="4">
        <v>10</v>
      </c>
      <c r="L177" s="4">
        <v>10</v>
      </c>
      <c r="M177" s="4">
        <v>8</v>
      </c>
      <c r="N177" s="4">
        <v>9</v>
      </c>
      <c r="AY177" s="3" t="s">
        <v>18</v>
      </c>
      <c r="AZ177" s="3" t="s">
        <v>18</v>
      </c>
      <c r="BD177" s="3" t="str">
        <f t="shared" si="5"/>
        <v>Moderado</v>
      </c>
      <c r="BE177" s="3" t="str">
        <f t="shared" si="4"/>
        <v>Se mantuvo igual</v>
      </c>
      <c r="BF177" s="3" t="s">
        <v>291</v>
      </c>
      <c r="BG177" s="3" t="s">
        <v>73</v>
      </c>
      <c r="BH177" s="3" t="s">
        <v>97</v>
      </c>
      <c r="BI177" s="3">
        <v>10</v>
      </c>
      <c r="BJ177" s="3">
        <v>10</v>
      </c>
    </row>
    <row r="178" spans="1:62" x14ac:dyDescent="0.3">
      <c r="A178" s="3" t="s">
        <v>1139</v>
      </c>
      <c r="B178" s="3" t="s">
        <v>26</v>
      </c>
      <c r="C178" s="3">
        <v>18</v>
      </c>
      <c r="D178" s="3">
        <v>10</v>
      </c>
      <c r="G178" s="4">
        <v>10</v>
      </c>
      <c r="H178" s="4">
        <v>10</v>
      </c>
      <c r="I178" s="4">
        <v>10</v>
      </c>
      <c r="J178" s="4">
        <v>10</v>
      </c>
      <c r="K178" s="4">
        <v>10</v>
      </c>
      <c r="L178" s="4">
        <v>10</v>
      </c>
      <c r="M178" s="4">
        <v>10</v>
      </c>
      <c r="N178" s="4">
        <v>10</v>
      </c>
      <c r="AY178" s="3" t="s">
        <v>22</v>
      </c>
      <c r="AZ178" s="3" t="s">
        <v>18</v>
      </c>
      <c r="BA178" s="3" t="s">
        <v>405</v>
      </c>
      <c r="BD178" s="3" t="str">
        <f t="shared" si="5"/>
        <v>Alto</v>
      </c>
      <c r="BE178" s="3" t="s">
        <v>623</v>
      </c>
      <c r="BF178" s="3" t="s">
        <v>406</v>
      </c>
      <c r="BG178" s="3" t="s">
        <v>400</v>
      </c>
      <c r="BH178" s="3" t="s">
        <v>407</v>
      </c>
      <c r="BI178" s="3">
        <v>10</v>
      </c>
      <c r="BJ178" s="3">
        <v>10</v>
      </c>
    </row>
    <row r="179" spans="1:62" x14ac:dyDescent="0.3">
      <c r="A179" s="3" t="s">
        <v>1139</v>
      </c>
      <c r="B179" s="3" t="s">
        <v>16</v>
      </c>
      <c r="C179" s="3">
        <v>17</v>
      </c>
      <c r="D179" s="3">
        <v>9</v>
      </c>
      <c r="G179" s="4">
        <v>9</v>
      </c>
      <c r="H179" s="4">
        <v>10</v>
      </c>
      <c r="I179" s="4">
        <v>10</v>
      </c>
      <c r="J179" s="4">
        <v>10</v>
      </c>
      <c r="K179" s="4">
        <v>10</v>
      </c>
      <c r="L179" s="4">
        <v>10</v>
      </c>
      <c r="M179" s="4">
        <v>10</v>
      </c>
      <c r="N179" s="4">
        <v>10</v>
      </c>
      <c r="AY179" s="3" t="s">
        <v>18</v>
      </c>
      <c r="AZ179" s="3" t="s">
        <v>17</v>
      </c>
      <c r="BD179" s="3" t="str">
        <f t="shared" si="5"/>
        <v>Moderado</v>
      </c>
      <c r="BE179" s="3" t="str">
        <f t="shared" si="4"/>
        <v>Se mantuvo igual</v>
      </c>
      <c r="BF179" s="3" t="s">
        <v>408</v>
      </c>
      <c r="BG179" s="3" t="s">
        <v>409</v>
      </c>
      <c r="BH179" s="3" t="s">
        <v>410</v>
      </c>
      <c r="BI179" s="3">
        <v>10</v>
      </c>
      <c r="BJ179" s="3">
        <v>10</v>
      </c>
    </row>
    <row r="180" spans="1:62" x14ac:dyDescent="0.3">
      <c r="A180" s="3" t="s">
        <v>1139</v>
      </c>
      <c r="B180" s="3" t="s">
        <v>26</v>
      </c>
      <c r="C180" s="3">
        <v>17</v>
      </c>
      <c r="D180" s="3">
        <v>9</v>
      </c>
      <c r="G180" s="4">
        <v>10</v>
      </c>
      <c r="H180" s="4">
        <v>10</v>
      </c>
      <c r="I180" s="4">
        <v>10</v>
      </c>
      <c r="J180" s="4">
        <v>10</v>
      </c>
      <c r="K180" s="4">
        <v>10</v>
      </c>
      <c r="L180" s="4">
        <v>10</v>
      </c>
      <c r="M180" s="4">
        <v>10</v>
      </c>
      <c r="N180" s="4">
        <v>10</v>
      </c>
      <c r="AY180" s="3" t="s">
        <v>22</v>
      </c>
      <c r="AZ180" s="3" t="s">
        <v>18</v>
      </c>
      <c r="BD180" s="3" t="str">
        <f t="shared" si="5"/>
        <v>Alto</v>
      </c>
      <c r="BE180" s="3" t="s">
        <v>623</v>
      </c>
      <c r="BF180" s="3" t="s">
        <v>411</v>
      </c>
      <c r="BG180" s="3" t="s">
        <v>412</v>
      </c>
      <c r="BI180" s="3">
        <v>10</v>
      </c>
      <c r="BJ180" s="3">
        <v>10</v>
      </c>
    </row>
    <row r="181" spans="1:62" x14ac:dyDescent="0.3">
      <c r="A181" s="3" t="s">
        <v>1139</v>
      </c>
      <c r="B181" s="3" t="s">
        <v>26</v>
      </c>
      <c r="C181" s="3">
        <v>17</v>
      </c>
      <c r="D181" s="3">
        <v>9</v>
      </c>
      <c r="G181" s="4">
        <v>10</v>
      </c>
      <c r="H181" s="4">
        <v>9</v>
      </c>
      <c r="I181" s="4">
        <v>10</v>
      </c>
      <c r="J181" s="4">
        <v>10</v>
      </c>
      <c r="K181" s="4">
        <v>7</v>
      </c>
      <c r="L181" s="4">
        <v>3</v>
      </c>
      <c r="M181" s="4">
        <v>10</v>
      </c>
      <c r="N181" s="4">
        <v>9</v>
      </c>
      <c r="AY181" s="3" t="s">
        <v>18</v>
      </c>
      <c r="AZ181" s="3" t="s">
        <v>18</v>
      </c>
      <c r="BD181" s="3" t="str">
        <f t="shared" si="5"/>
        <v>Moderado</v>
      </c>
      <c r="BE181" s="3" t="str">
        <f t="shared" si="4"/>
        <v>Se mantuvo igual</v>
      </c>
      <c r="BF181" s="3" t="s">
        <v>413</v>
      </c>
      <c r="BG181" s="3" t="s">
        <v>414</v>
      </c>
      <c r="BH181" s="3" t="s">
        <v>415</v>
      </c>
      <c r="BI181" s="3">
        <v>10</v>
      </c>
      <c r="BJ181" s="3">
        <v>10</v>
      </c>
    </row>
    <row r="182" spans="1:62" x14ac:dyDescent="0.3">
      <c r="A182" s="3" t="s">
        <v>1139</v>
      </c>
      <c r="B182" s="3" t="s">
        <v>26</v>
      </c>
      <c r="C182" s="3">
        <v>17</v>
      </c>
      <c r="D182" s="3">
        <v>10</v>
      </c>
      <c r="G182" s="4">
        <v>10</v>
      </c>
      <c r="H182" s="4">
        <v>10</v>
      </c>
      <c r="I182" s="4">
        <v>10</v>
      </c>
      <c r="J182" s="4">
        <v>10</v>
      </c>
      <c r="K182" s="4">
        <v>10</v>
      </c>
      <c r="L182" s="4">
        <v>10</v>
      </c>
      <c r="M182" s="4">
        <v>10</v>
      </c>
      <c r="N182" s="4">
        <v>10</v>
      </c>
      <c r="AY182" s="3" t="s">
        <v>22</v>
      </c>
      <c r="AZ182" s="3" t="s">
        <v>17</v>
      </c>
      <c r="BA182" s="3" t="s">
        <v>416</v>
      </c>
      <c r="BD182" s="3" t="str">
        <f t="shared" si="5"/>
        <v>Alto</v>
      </c>
      <c r="BE182" s="3" t="s">
        <v>623</v>
      </c>
      <c r="BF182" s="3" t="s">
        <v>417</v>
      </c>
      <c r="BG182" s="3" t="s">
        <v>418</v>
      </c>
      <c r="BI182" s="3">
        <v>10</v>
      </c>
      <c r="BJ182" s="3">
        <v>10</v>
      </c>
    </row>
    <row r="183" spans="1:62" x14ac:dyDescent="0.3">
      <c r="A183" s="3" t="s">
        <v>1139</v>
      </c>
      <c r="B183" s="3" t="s">
        <v>26</v>
      </c>
      <c r="C183" s="3">
        <v>18</v>
      </c>
      <c r="D183" s="3">
        <v>9</v>
      </c>
      <c r="G183" s="4">
        <v>7</v>
      </c>
      <c r="H183" s="4">
        <v>8</v>
      </c>
      <c r="I183" s="4">
        <v>10</v>
      </c>
      <c r="J183" s="4">
        <v>10</v>
      </c>
      <c r="K183" s="4">
        <v>10</v>
      </c>
      <c r="L183" s="4">
        <v>10</v>
      </c>
      <c r="M183" s="4">
        <v>10</v>
      </c>
      <c r="N183" s="4">
        <v>10</v>
      </c>
      <c r="AY183" s="3" t="s">
        <v>18</v>
      </c>
      <c r="AZ183" s="3" t="s">
        <v>18</v>
      </c>
      <c r="BD183" s="3" t="str">
        <f t="shared" si="5"/>
        <v>Moderado</v>
      </c>
      <c r="BE183" s="3" t="str">
        <f t="shared" si="4"/>
        <v>Se mantuvo igual</v>
      </c>
      <c r="BF183" s="3" t="s">
        <v>419</v>
      </c>
      <c r="BG183" s="3" t="s">
        <v>28</v>
      </c>
      <c r="BI183" s="3">
        <v>10</v>
      </c>
      <c r="BJ183" s="3">
        <v>10</v>
      </c>
    </row>
    <row r="184" spans="1:62" x14ac:dyDescent="0.3">
      <c r="A184" s="3" t="s">
        <v>1139</v>
      </c>
      <c r="B184" s="3" t="s">
        <v>26</v>
      </c>
      <c r="C184" s="3">
        <v>17</v>
      </c>
      <c r="D184" s="3">
        <v>10</v>
      </c>
      <c r="H184" s="4">
        <v>1</v>
      </c>
      <c r="I184" s="4">
        <v>9</v>
      </c>
      <c r="J184" s="4">
        <v>10</v>
      </c>
      <c r="K184" s="4">
        <v>8</v>
      </c>
      <c r="L184" s="4">
        <v>10</v>
      </c>
      <c r="M184" s="4">
        <v>8</v>
      </c>
      <c r="N184" s="4">
        <v>10</v>
      </c>
      <c r="AY184" s="3" t="s">
        <v>22</v>
      </c>
      <c r="AZ184" s="3" t="s">
        <v>22</v>
      </c>
      <c r="BA184" s="3" t="s">
        <v>420</v>
      </c>
      <c r="BD184" s="3" t="str">
        <f t="shared" si="5"/>
        <v>Alto</v>
      </c>
      <c r="BE184" s="3" t="str">
        <f t="shared" si="4"/>
        <v>Aumentó</v>
      </c>
      <c r="BF184" s="3" t="s">
        <v>421</v>
      </c>
      <c r="BG184" s="3" t="s">
        <v>422</v>
      </c>
      <c r="BH184" s="3" t="s">
        <v>423</v>
      </c>
      <c r="BI184" s="3">
        <v>10</v>
      </c>
      <c r="BJ184" s="3">
        <v>10</v>
      </c>
    </row>
    <row r="185" spans="1:62" x14ac:dyDescent="0.3">
      <c r="A185" s="3" t="s">
        <v>1139</v>
      </c>
      <c r="B185" s="3" t="s">
        <v>26</v>
      </c>
      <c r="C185" s="3">
        <v>17</v>
      </c>
      <c r="D185" s="3">
        <v>10</v>
      </c>
      <c r="G185" s="4">
        <v>9</v>
      </c>
      <c r="H185" s="4">
        <v>8</v>
      </c>
      <c r="I185" s="4">
        <v>10</v>
      </c>
      <c r="J185" s="4">
        <v>10</v>
      </c>
      <c r="K185" s="4">
        <v>8</v>
      </c>
      <c r="L185" s="4">
        <v>10</v>
      </c>
      <c r="M185" s="4">
        <v>10</v>
      </c>
      <c r="N185" s="4">
        <v>9</v>
      </c>
      <c r="AY185" s="3" t="s">
        <v>22</v>
      </c>
      <c r="AZ185" s="3" t="s">
        <v>22</v>
      </c>
      <c r="BA185" s="3" t="s">
        <v>424</v>
      </c>
      <c r="BD185" s="3" t="str">
        <f t="shared" si="5"/>
        <v>Alto</v>
      </c>
      <c r="BE185" s="3" t="str">
        <f t="shared" si="4"/>
        <v>Aumentó</v>
      </c>
      <c r="BF185" s="3" t="s">
        <v>425</v>
      </c>
      <c r="BG185" s="3" t="s">
        <v>426</v>
      </c>
      <c r="BI185" s="3">
        <v>10</v>
      </c>
      <c r="BJ185" s="3">
        <v>10</v>
      </c>
    </row>
    <row r="186" spans="1:62" x14ac:dyDescent="0.3">
      <c r="A186" s="3" t="s">
        <v>1139</v>
      </c>
      <c r="B186" s="3" t="s">
        <v>26</v>
      </c>
      <c r="C186" s="3">
        <v>18</v>
      </c>
      <c r="D186" s="3">
        <v>9</v>
      </c>
      <c r="G186" s="4">
        <v>7</v>
      </c>
      <c r="H186" s="4">
        <v>8</v>
      </c>
      <c r="I186" s="4">
        <v>9</v>
      </c>
      <c r="J186" s="4">
        <v>8</v>
      </c>
      <c r="K186" s="4">
        <v>8</v>
      </c>
      <c r="L186" s="4">
        <v>8</v>
      </c>
      <c r="M186" s="4">
        <v>8</v>
      </c>
      <c r="N186" s="4">
        <v>9</v>
      </c>
      <c r="AY186" s="3" t="s">
        <v>22</v>
      </c>
      <c r="AZ186" s="3" t="s">
        <v>22</v>
      </c>
      <c r="BD186" s="3" t="str">
        <f t="shared" si="5"/>
        <v>Alto</v>
      </c>
      <c r="BE186" s="3" t="str">
        <f t="shared" si="4"/>
        <v>Aumentó</v>
      </c>
      <c r="BF186" s="3" t="s">
        <v>265</v>
      </c>
      <c r="BG186" s="3" t="s">
        <v>401</v>
      </c>
      <c r="BI186" s="3">
        <v>9</v>
      </c>
      <c r="BJ186" s="3">
        <v>9</v>
      </c>
    </row>
    <row r="187" spans="1:62" x14ac:dyDescent="0.3">
      <c r="A187" s="3" t="s">
        <v>1139</v>
      </c>
      <c r="B187" s="3" t="s">
        <v>26</v>
      </c>
      <c r="C187" s="3">
        <v>16</v>
      </c>
      <c r="D187" s="3">
        <v>9</v>
      </c>
      <c r="G187" s="4">
        <v>10</v>
      </c>
      <c r="H187" s="4">
        <v>10</v>
      </c>
      <c r="I187" s="4">
        <v>10</v>
      </c>
      <c r="J187" s="4">
        <v>10</v>
      </c>
      <c r="K187" s="4">
        <v>8</v>
      </c>
      <c r="L187" s="4">
        <v>10</v>
      </c>
      <c r="M187" s="4">
        <v>10</v>
      </c>
      <c r="N187" s="4">
        <v>9</v>
      </c>
      <c r="AY187" s="3" t="s">
        <v>18</v>
      </c>
      <c r="AZ187" s="3" t="s">
        <v>22</v>
      </c>
      <c r="BA187" s="3" t="s">
        <v>427</v>
      </c>
      <c r="BD187" s="3" t="str">
        <f t="shared" si="5"/>
        <v>Moderado</v>
      </c>
      <c r="BE187" s="3" t="str">
        <f t="shared" si="4"/>
        <v>Aumentó</v>
      </c>
      <c r="BF187" s="3" t="s">
        <v>428</v>
      </c>
      <c r="BG187" s="3" t="s">
        <v>429</v>
      </c>
      <c r="BH187" s="3" t="s">
        <v>430</v>
      </c>
      <c r="BI187" s="3">
        <v>10</v>
      </c>
      <c r="BJ187" s="3">
        <v>9</v>
      </c>
    </row>
    <row r="188" spans="1:62" x14ac:dyDescent="0.3">
      <c r="A188" s="3" t="s">
        <v>1139</v>
      </c>
      <c r="B188" s="3" t="s">
        <v>26</v>
      </c>
      <c r="C188" s="3">
        <v>16</v>
      </c>
      <c r="D188" s="3">
        <v>10</v>
      </c>
      <c r="G188" s="4">
        <v>10</v>
      </c>
      <c r="H188" s="4">
        <v>9</v>
      </c>
      <c r="I188" s="4">
        <v>8</v>
      </c>
      <c r="J188" s="4">
        <v>9</v>
      </c>
      <c r="K188" s="4">
        <v>10</v>
      </c>
      <c r="L188" s="4">
        <v>9</v>
      </c>
      <c r="M188" s="4">
        <v>10</v>
      </c>
      <c r="N188" s="4">
        <v>8</v>
      </c>
      <c r="AY188" s="3" t="s">
        <v>18</v>
      </c>
      <c r="AZ188" s="3" t="s">
        <v>22</v>
      </c>
      <c r="BD188" s="3" t="str">
        <f t="shared" si="5"/>
        <v>Moderado</v>
      </c>
      <c r="BE188" s="3" t="str">
        <f t="shared" si="4"/>
        <v>Aumentó</v>
      </c>
      <c r="BF188" s="3" t="s">
        <v>431</v>
      </c>
      <c r="BG188" s="3" t="s">
        <v>432</v>
      </c>
      <c r="BH188" s="3" t="s">
        <v>433</v>
      </c>
      <c r="BI188" s="3">
        <v>10</v>
      </c>
      <c r="BJ188" s="3">
        <v>8</v>
      </c>
    </row>
    <row r="189" spans="1:62" x14ac:dyDescent="0.3">
      <c r="A189" s="3" t="s">
        <v>1139</v>
      </c>
      <c r="B189" s="3" t="s">
        <v>16</v>
      </c>
      <c r="C189" s="3">
        <v>15</v>
      </c>
      <c r="D189" s="3">
        <v>8</v>
      </c>
      <c r="G189" s="4">
        <v>5</v>
      </c>
      <c r="H189" s="4">
        <v>5</v>
      </c>
      <c r="K189" s="4">
        <v>10</v>
      </c>
      <c r="L189" s="4">
        <v>9</v>
      </c>
      <c r="M189" s="4">
        <v>5</v>
      </c>
      <c r="N189" s="4">
        <v>5</v>
      </c>
      <c r="AE189" s="4">
        <v>5</v>
      </c>
      <c r="AF189" s="4">
        <v>5</v>
      </c>
      <c r="AY189" s="3" t="s">
        <v>17</v>
      </c>
      <c r="BB189" s="3" t="s">
        <v>17</v>
      </c>
      <c r="BC189" s="3" t="s">
        <v>22</v>
      </c>
      <c r="BD189" s="3" t="str">
        <f t="shared" si="5"/>
        <v>Bajo</v>
      </c>
      <c r="BE189" s="3" t="str">
        <f t="shared" si="4"/>
        <v>Se mantuvo igual</v>
      </c>
      <c r="BF189" s="3" t="s">
        <v>434</v>
      </c>
      <c r="BG189" s="3" t="s">
        <v>435</v>
      </c>
      <c r="BH189" s="3" t="s">
        <v>241</v>
      </c>
    </row>
    <row r="190" spans="1:62" x14ac:dyDescent="0.3">
      <c r="A190" s="3" t="s">
        <v>1139</v>
      </c>
      <c r="B190" s="3" t="s">
        <v>16</v>
      </c>
      <c r="C190" s="3">
        <v>15</v>
      </c>
      <c r="D190" s="3">
        <v>1</v>
      </c>
      <c r="G190" s="4">
        <v>2</v>
      </c>
      <c r="H190" s="4">
        <v>2</v>
      </c>
      <c r="K190" s="4">
        <v>7</v>
      </c>
      <c r="L190" s="4">
        <v>9</v>
      </c>
      <c r="M190" s="4">
        <v>1</v>
      </c>
      <c r="N190" s="4">
        <v>1</v>
      </c>
      <c r="AE190" s="4">
        <v>2</v>
      </c>
      <c r="AF190" s="4">
        <v>2</v>
      </c>
      <c r="AY190" s="3" t="s">
        <v>18</v>
      </c>
      <c r="AZ190" s="3" t="s">
        <v>18</v>
      </c>
      <c r="BA190" s="3" t="s">
        <v>436</v>
      </c>
      <c r="BD190" s="3" t="str">
        <f t="shared" si="5"/>
        <v>Moderado</v>
      </c>
      <c r="BE190" s="3" t="str">
        <f t="shared" si="4"/>
        <v>Se mantuvo igual</v>
      </c>
      <c r="BF190" s="3" t="s">
        <v>437</v>
      </c>
      <c r="BG190" s="3" t="s">
        <v>438</v>
      </c>
      <c r="BH190" s="3" t="s">
        <v>439</v>
      </c>
    </row>
    <row r="191" spans="1:62" x14ac:dyDescent="0.3">
      <c r="A191" s="3" t="s">
        <v>1139</v>
      </c>
      <c r="B191" s="3" t="s">
        <v>26</v>
      </c>
      <c r="C191" s="3">
        <v>13</v>
      </c>
      <c r="D191" s="3">
        <v>9</v>
      </c>
      <c r="G191" s="4">
        <v>1</v>
      </c>
      <c r="H191" s="4">
        <v>1</v>
      </c>
      <c r="K191" s="4">
        <v>9</v>
      </c>
      <c r="L191" s="4">
        <v>10</v>
      </c>
      <c r="M191" s="4">
        <v>1</v>
      </c>
      <c r="N191" s="4">
        <v>1</v>
      </c>
      <c r="AE191" s="4">
        <v>4</v>
      </c>
      <c r="AF191" s="4">
        <v>4</v>
      </c>
      <c r="AY191" s="3" t="s">
        <v>17</v>
      </c>
      <c r="BB191" s="3" t="s">
        <v>18</v>
      </c>
      <c r="BC191" s="3" t="s">
        <v>22</v>
      </c>
      <c r="BD191" s="3" t="str">
        <f t="shared" si="5"/>
        <v>Bajo</v>
      </c>
      <c r="BE191" s="3" t="str">
        <f t="shared" si="4"/>
        <v>Se mantuvo igual</v>
      </c>
      <c r="BF191" s="3" t="s">
        <v>440</v>
      </c>
      <c r="BG191" s="3" t="s">
        <v>441</v>
      </c>
      <c r="BH191" s="3" t="s">
        <v>442</v>
      </c>
    </row>
    <row r="192" spans="1:62" x14ac:dyDescent="0.3">
      <c r="A192" s="3" t="s">
        <v>1139</v>
      </c>
      <c r="B192" s="3" t="s">
        <v>26</v>
      </c>
      <c r="C192" s="3">
        <v>15</v>
      </c>
      <c r="D192" s="3">
        <v>3</v>
      </c>
      <c r="G192" s="4">
        <v>5</v>
      </c>
      <c r="H192" s="4">
        <v>6</v>
      </c>
      <c r="K192" s="4">
        <v>3</v>
      </c>
      <c r="L192" s="4">
        <v>4</v>
      </c>
      <c r="M192" s="4">
        <v>4</v>
      </c>
      <c r="N192" s="4">
        <v>4</v>
      </c>
      <c r="AE192" s="4">
        <v>1</v>
      </c>
      <c r="AF192" s="4">
        <v>1</v>
      </c>
      <c r="AY192" s="3" t="s">
        <v>18</v>
      </c>
      <c r="AZ192" s="3" t="s">
        <v>18</v>
      </c>
      <c r="BA192" s="3" t="s">
        <v>443</v>
      </c>
      <c r="BD192" s="3" t="str">
        <f t="shared" si="5"/>
        <v>Moderado</v>
      </c>
      <c r="BE192" s="3" t="str">
        <f t="shared" si="4"/>
        <v>Se mantuvo igual</v>
      </c>
      <c r="BF192" s="3" t="s">
        <v>444</v>
      </c>
      <c r="BG192" s="3" t="s">
        <v>445</v>
      </c>
      <c r="BH192" s="3" t="s">
        <v>446</v>
      </c>
    </row>
    <row r="193" spans="1:60" x14ac:dyDescent="0.3">
      <c r="A193" s="3" t="s">
        <v>1139</v>
      </c>
      <c r="B193" s="3" t="s">
        <v>26</v>
      </c>
      <c r="C193" s="3">
        <v>16</v>
      </c>
      <c r="D193" s="3">
        <v>10</v>
      </c>
      <c r="K193" s="4">
        <v>10</v>
      </c>
      <c r="L193" s="4">
        <v>10</v>
      </c>
      <c r="M193" s="4">
        <v>10</v>
      </c>
      <c r="N193" s="4">
        <v>10</v>
      </c>
      <c r="O193" s="4">
        <v>10</v>
      </c>
      <c r="P193" s="4">
        <v>10</v>
      </c>
      <c r="Q193" s="4">
        <v>10</v>
      </c>
      <c r="R193" s="4">
        <v>10</v>
      </c>
      <c r="S193" s="4">
        <v>10</v>
      </c>
      <c r="T193" s="4">
        <v>10</v>
      </c>
      <c r="AE193" s="4">
        <v>10</v>
      </c>
      <c r="AF193" s="4">
        <v>10</v>
      </c>
      <c r="AI193" s="4">
        <v>10</v>
      </c>
      <c r="AJ193" s="4">
        <v>10</v>
      </c>
      <c r="AY193" s="3" t="s">
        <v>17</v>
      </c>
      <c r="BB193" s="3" t="s">
        <v>18</v>
      </c>
      <c r="BC193" s="3" t="s">
        <v>22</v>
      </c>
      <c r="BD193" s="3" t="str">
        <f t="shared" si="5"/>
        <v>Bajo</v>
      </c>
      <c r="BE193" s="3" t="str">
        <f t="shared" si="4"/>
        <v>Se mantuvo igual</v>
      </c>
      <c r="BF193" s="3" t="s">
        <v>447</v>
      </c>
      <c r="BG193" s="3" t="s">
        <v>448</v>
      </c>
      <c r="BH193" s="3" t="s">
        <v>449</v>
      </c>
    </row>
    <row r="194" spans="1:60" x14ac:dyDescent="0.3">
      <c r="A194" s="3" t="s">
        <v>1139</v>
      </c>
      <c r="B194" s="3" t="s">
        <v>26</v>
      </c>
      <c r="C194" s="3">
        <v>17</v>
      </c>
      <c r="D194" s="3">
        <v>9</v>
      </c>
      <c r="K194" s="4">
        <v>8</v>
      </c>
      <c r="L194" s="4">
        <v>10</v>
      </c>
      <c r="M194" s="4">
        <v>5</v>
      </c>
      <c r="N194" s="4">
        <v>5</v>
      </c>
      <c r="O194" s="4">
        <v>8</v>
      </c>
      <c r="P194" s="4">
        <v>7</v>
      </c>
      <c r="Q194" s="4">
        <v>5</v>
      </c>
      <c r="R194" s="4">
        <v>5</v>
      </c>
      <c r="S194" s="4">
        <v>8</v>
      </c>
      <c r="T194" s="4">
        <v>7</v>
      </c>
      <c r="AE194" s="4">
        <v>5</v>
      </c>
      <c r="AF194" s="4">
        <v>5</v>
      </c>
      <c r="AI194" s="4">
        <v>9</v>
      </c>
      <c r="AJ194" s="4">
        <v>9</v>
      </c>
      <c r="AY194" s="3" t="s">
        <v>22</v>
      </c>
      <c r="AZ194" s="3" t="s">
        <v>18</v>
      </c>
      <c r="BA194" s="3" t="s">
        <v>450</v>
      </c>
      <c r="BD194" s="3" t="str">
        <f t="shared" si="5"/>
        <v>Alto</v>
      </c>
      <c r="BE194" s="3" t="s">
        <v>623</v>
      </c>
      <c r="BF194" s="3" t="s">
        <v>451</v>
      </c>
      <c r="BG194" s="3" t="s">
        <v>451</v>
      </c>
      <c r="BH194" s="3" t="s">
        <v>452</v>
      </c>
    </row>
    <row r="195" spans="1:60" x14ac:dyDescent="0.3">
      <c r="A195" s="3" t="s">
        <v>1139</v>
      </c>
      <c r="B195" s="3" t="s">
        <v>26</v>
      </c>
      <c r="C195" s="3">
        <v>18</v>
      </c>
      <c r="D195" s="3">
        <v>5</v>
      </c>
      <c r="K195" s="4">
        <v>9</v>
      </c>
      <c r="L195" s="4">
        <v>9</v>
      </c>
      <c r="M195" s="4">
        <v>5</v>
      </c>
      <c r="N195" s="4">
        <v>5</v>
      </c>
      <c r="O195" s="4">
        <v>5</v>
      </c>
      <c r="P195" s="4">
        <v>5</v>
      </c>
      <c r="Q195" s="4">
        <v>5</v>
      </c>
      <c r="R195" s="4">
        <v>6</v>
      </c>
      <c r="S195" s="4">
        <v>5</v>
      </c>
      <c r="T195" s="4">
        <v>6</v>
      </c>
      <c r="AE195" s="4">
        <v>5</v>
      </c>
      <c r="AF195" s="4">
        <v>5</v>
      </c>
      <c r="AI195" s="4">
        <v>5</v>
      </c>
      <c r="AJ195" s="4">
        <v>6</v>
      </c>
      <c r="AY195" s="3" t="s">
        <v>17</v>
      </c>
      <c r="BB195" s="3" t="s">
        <v>17</v>
      </c>
      <c r="BC195" s="3" t="s">
        <v>18</v>
      </c>
      <c r="BD195" s="3" t="str">
        <f t="shared" si="5"/>
        <v>Bajo</v>
      </c>
      <c r="BE195" s="3" t="str">
        <f t="shared" ref="BE195:BE258" si="6">IF(AZ195="Sí", "Aumentó", IF(AY195="Tal vez", "Se mantuvo igual", IF(AY195="No", "Se mantuvo igual", "")))</f>
        <v>Se mantuvo igual</v>
      </c>
      <c r="BF195" s="3" t="s">
        <v>453</v>
      </c>
      <c r="BG195" s="3" t="s">
        <v>139</v>
      </c>
    </row>
    <row r="196" spans="1:60" x14ac:dyDescent="0.3">
      <c r="A196" s="3" t="s">
        <v>1139</v>
      </c>
      <c r="B196" s="3" t="s">
        <v>26</v>
      </c>
      <c r="C196" s="3">
        <v>16</v>
      </c>
      <c r="D196" s="3">
        <v>10</v>
      </c>
      <c r="K196" s="4">
        <v>10</v>
      </c>
      <c r="L196" s="4">
        <v>10</v>
      </c>
      <c r="M196" s="4">
        <v>10</v>
      </c>
      <c r="N196" s="4">
        <v>10</v>
      </c>
      <c r="O196" s="4">
        <v>10</v>
      </c>
      <c r="P196" s="4">
        <v>8</v>
      </c>
      <c r="Q196" s="4">
        <v>7</v>
      </c>
      <c r="R196" s="4">
        <v>8</v>
      </c>
      <c r="S196" s="4">
        <v>9</v>
      </c>
      <c r="T196" s="4">
        <v>8</v>
      </c>
      <c r="AE196" s="4">
        <v>8</v>
      </c>
      <c r="AF196" s="4">
        <v>8</v>
      </c>
      <c r="AI196" s="4">
        <v>8</v>
      </c>
      <c r="AJ196" s="4">
        <v>8</v>
      </c>
      <c r="AY196" s="3" t="s">
        <v>22</v>
      </c>
      <c r="AZ196" s="3" t="s">
        <v>17</v>
      </c>
      <c r="BA196" s="3" t="s">
        <v>454</v>
      </c>
      <c r="BD196" s="3" t="str">
        <f t="shared" ref="BD196:BD259" si="7">IF(AY196="Sí", "Alto", IF(AY196="Tal vez", "Moderado", IF(AY196="No", "Bajo", "")))</f>
        <v>Alto</v>
      </c>
      <c r="BE196" s="3" t="s">
        <v>623</v>
      </c>
      <c r="BF196" s="3" t="s">
        <v>455</v>
      </c>
      <c r="BG196" s="3" t="s">
        <v>456</v>
      </c>
      <c r="BH196" s="3" t="s">
        <v>457</v>
      </c>
    </row>
    <row r="197" spans="1:60" x14ac:dyDescent="0.3">
      <c r="A197" s="3" t="s">
        <v>1139</v>
      </c>
      <c r="B197" s="3" t="s">
        <v>26</v>
      </c>
      <c r="C197" s="3">
        <v>16</v>
      </c>
      <c r="D197" s="3">
        <v>8</v>
      </c>
      <c r="K197" s="4">
        <v>4</v>
      </c>
      <c r="L197" s="4">
        <v>7</v>
      </c>
      <c r="M197" s="4">
        <v>5</v>
      </c>
      <c r="N197" s="4">
        <v>7</v>
      </c>
      <c r="O197" s="4">
        <v>3</v>
      </c>
      <c r="P197" s="4">
        <v>6</v>
      </c>
      <c r="S197" s="4">
        <v>3</v>
      </c>
      <c r="T197" s="4">
        <v>6</v>
      </c>
      <c r="AI197" s="4">
        <v>3</v>
      </c>
      <c r="AJ197" s="4">
        <v>6</v>
      </c>
      <c r="AY197" s="3" t="s">
        <v>22</v>
      </c>
      <c r="AZ197" s="3" t="s">
        <v>18</v>
      </c>
      <c r="BA197" s="3" t="s">
        <v>458</v>
      </c>
      <c r="BD197" s="3" t="str">
        <f t="shared" si="7"/>
        <v>Alto</v>
      </c>
      <c r="BE197" s="3" t="s">
        <v>623</v>
      </c>
      <c r="BF197" s="3" t="s">
        <v>459</v>
      </c>
      <c r="BG197" s="3" t="s">
        <v>460</v>
      </c>
      <c r="BH197" s="3" t="s">
        <v>461</v>
      </c>
    </row>
    <row r="198" spans="1:60" x14ac:dyDescent="0.3">
      <c r="A198" s="3" t="s">
        <v>1139</v>
      </c>
      <c r="B198" s="3" t="s">
        <v>16</v>
      </c>
      <c r="C198" s="3">
        <v>18</v>
      </c>
      <c r="D198" s="3">
        <v>10</v>
      </c>
      <c r="K198" s="4">
        <v>10</v>
      </c>
      <c r="L198" s="4">
        <v>10</v>
      </c>
      <c r="M198" s="4">
        <v>10</v>
      </c>
      <c r="N198" s="4">
        <v>10</v>
      </c>
      <c r="Q198" s="4">
        <v>10</v>
      </c>
      <c r="R198" s="4">
        <v>9</v>
      </c>
      <c r="AI198" s="4">
        <v>10</v>
      </c>
      <c r="AJ198" s="4">
        <v>10</v>
      </c>
      <c r="AY198" s="3" t="s">
        <v>18</v>
      </c>
      <c r="AZ198" s="3" t="s">
        <v>22</v>
      </c>
      <c r="BD198" s="3" t="str">
        <f t="shared" si="7"/>
        <v>Moderado</v>
      </c>
      <c r="BE198" s="3" t="str">
        <f t="shared" si="6"/>
        <v>Aumentó</v>
      </c>
      <c r="BF198" s="3" t="s">
        <v>462</v>
      </c>
      <c r="BG198" s="3" t="s">
        <v>463</v>
      </c>
    </row>
    <row r="199" spans="1:60" x14ac:dyDescent="0.3">
      <c r="A199" s="3" t="s">
        <v>1139</v>
      </c>
      <c r="B199" s="3" t="s">
        <v>26</v>
      </c>
      <c r="C199" s="3">
        <v>18</v>
      </c>
      <c r="D199" s="3">
        <v>10</v>
      </c>
      <c r="K199" s="4">
        <v>9</v>
      </c>
      <c r="L199" s="4">
        <v>9</v>
      </c>
      <c r="O199" s="4">
        <v>9</v>
      </c>
      <c r="P199" s="4">
        <v>8</v>
      </c>
      <c r="S199" s="4">
        <v>10</v>
      </c>
      <c r="T199" s="4">
        <v>10</v>
      </c>
      <c r="AY199" s="3" t="s">
        <v>17</v>
      </c>
      <c r="BB199" s="3" t="s">
        <v>18</v>
      </c>
      <c r="BC199" s="3" t="s">
        <v>22</v>
      </c>
      <c r="BD199" s="3" t="str">
        <f t="shared" si="7"/>
        <v>Bajo</v>
      </c>
      <c r="BE199" s="3" t="str">
        <f t="shared" si="6"/>
        <v>Se mantuvo igual</v>
      </c>
      <c r="BF199" s="3" t="s">
        <v>464</v>
      </c>
    </row>
    <row r="200" spans="1:60" x14ac:dyDescent="0.3">
      <c r="A200" s="3" t="s">
        <v>1139</v>
      </c>
      <c r="B200" s="3" t="s">
        <v>16</v>
      </c>
      <c r="C200" s="3">
        <v>15</v>
      </c>
      <c r="D200" s="3">
        <v>8</v>
      </c>
      <c r="K200" s="4">
        <v>8</v>
      </c>
      <c r="L200" s="4">
        <v>8</v>
      </c>
      <c r="M200" s="4">
        <v>6</v>
      </c>
      <c r="N200" s="4">
        <v>6</v>
      </c>
      <c r="O200" s="4">
        <v>7</v>
      </c>
      <c r="P200" s="4">
        <v>6</v>
      </c>
      <c r="Q200" s="4">
        <v>7</v>
      </c>
      <c r="R200" s="4">
        <v>7</v>
      </c>
      <c r="S200" s="4">
        <v>6</v>
      </c>
      <c r="T200" s="4">
        <v>6</v>
      </c>
      <c r="AE200" s="4">
        <v>5</v>
      </c>
      <c r="AF200" s="4">
        <v>6</v>
      </c>
      <c r="AI200" s="4">
        <v>6</v>
      </c>
      <c r="AJ200" s="4">
        <v>6</v>
      </c>
      <c r="AY200" s="3" t="s">
        <v>17</v>
      </c>
      <c r="BB200" s="3" t="s">
        <v>17</v>
      </c>
      <c r="BC200" s="3" t="s">
        <v>18</v>
      </c>
      <c r="BD200" s="3" t="str">
        <f t="shared" si="7"/>
        <v>Bajo</v>
      </c>
      <c r="BE200" s="3" t="str">
        <f t="shared" si="6"/>
        <v>Se mantuvo igual</v>
      </c>
      <c r="BF200" s="3" t="s">
        <v>448</v>
      </c>
      <c r="BG200" s="3" t="s">
        <v>465</v>
      </c>
    </row>
    <row r="201" spans="1:60" x14ac:dyDescent="0.3">
      <c r="A201" s="3" t="s">
        <v>1139</v>
      </c>
      <c r="B201" s="3" t="s">
        <v>26</v>
      </c>
      <c r="C201" s="3">
        <v>15</v>
      </c>
      <c r="D201" s="3">
        <v>9</v>
      </c>
      <c r="E201" s="4">
        <v>7</v>
      </c>
      <c r="F201" s="4">
        <v>10</v>
      </c>
      <c r="I201" s="4">
        <v>5</v>
      </c>
      <c r="J201" s="4">
        <v>5</v>
      </c>
      <c r="K201" s="4">
        <v>10</v>
      </c>
      <c r="L201" s="4">
        <v>10</v>
      </c>
      <c r="M201" s="4">
        <v>5</v>
      </c>
      <c r="N201" s="4">
        <v>5</v>
      </c>
      <c r="O201" s="4">
        <v>5</v>
      </c>
      <c r="P201" s="4">
        <v>5</v>
      </c>
      <c r="W201" s="4">
        <v>5</v>
      </c>
      <c r="X201" s="4">
        <v>5</v>
      </c>
      <c r="AA201" s="4">
        <v>5</v>
      </c>
      <c r="AB201" s="4">
        <v>5</v>
      </c>
      <c r="AY201" s="3" t="s">
        <v>22</v>
      </c>
      <c r="AZ201" s="3" t="s">
        <v>22</v>
      </c>
      <c r="BD201" s="3" t="str">
        <f t="shared" si="7"/>
        <v>Alto</v>
      </c>
      <c r="BE201" s="3" t="str">
        <f t="shared" si="6"/>
        <v>Aumentó</v>
      </c>
      <c r="BF201" s="3" t="s">
        <v>466</v>
      </c>
      <c r="BG201" s="3" t="s">
        <v>467</v>
      </c>
    </row>
    <row r="202" spans="1:60" x14ac:dyDescent="0.3">
      <c r="A202" s="3" t="s">
        <v>1139</v>
      </c>
      <c r="B202" s="3" t="s">
        <v>16</v>
      </c>
      <c r="C202" s="3">
        <v>16</v>
      </c>
      <c r="D202" s="3">
        <v>9</v>
      </c>
      <c r="E202" s="4">
        <v>10</v>
      </c>
      <c r="F202" s="4">
        <v>10</v>
      </c>
      <c r="I202" s="4">
        <v>5</v>
      </c>
      <c r="J202" s="4">
        <v>5</v>
      </c>
      <c r="K202" s="4">
        <v>9</v>
      </c>
      <c r="L202" s="4">
        <v>6</v>
      </c>
      <c r="M202" s="4">
        <v>5</v>
      </c>
      <c r="N202" s="4">
        <v>5</v>
      </c>
      <c r="O202" s="4">
        <v>5</v>
      </c>
      <c r="P202" s="4">
        <v>5</v>
      </c>
      <c r="W202" s="4">
        <v>1</v>
      </c>
      <c r="X202" s="4">
        <v>1</v>
      </c>
      <c r="AA202" s="4">
        <v>5</v>
      </c>
      <c r="AB202" s="4">
        <v>5</v>
      </c>
      <c r="AY202" s="3" t="s">
        <v>17</v>
      </c>
      <c r="BB202" s="3" t="s">
        <v>18</v>
      </c>
      <c r="BC202" s="3" t="s">
        <v>22</v>
      </c>
      <c r="BD202" s="3" t="str">
        <f t="shared" si="7"/>
        <v>Bajo</v>
      </c>
      <c r="BE202" s="3" t="str">
        <f t="shared" si="6"/>
        <v>Se mantuvo igual</v>
      </c>
      <c r="BF202" s="3" t="s">
        <v>468</v>
      </c>
      <c r="BG202" s="3" t="s">
        <v>35</v>
      </c>
      <c r="BH202" s="3" t="s">
        <v>35</v>
      </c>
    </row>
    <row r="203" spans="1:60" x14ac:dyDescent="0.3">
      <c r="A203" s="3" t="s">
        <v>1139</v>
      </c>
      <c r="B203" s="3" t="s">
        <v>26</v>
      </c>
      <c r="C203" s="3">
        <v>15</v>
      </c>
      <c r="D203" s="3">
        <v>10</v>
      </c>
      <c r="E203" s="4">
        <v>10</v>
      </c>
      <c r="F203" s="4">
        <v>10</v>
      </c>
      <c r="I203" s="4">
        <v>5</v>
      </c>
      <c r="J203" s="4">
        <v>5</v>
      </c>
      <c r="K203" s="4">
        <v>10</v>
      </c>
      <c r="L203" s="4">
        <v>10</v>
      </c>
      <c r="M203" s="4">
        <v>5</v>
      </c>
      <c r="N203" s="4">
        <v>5</v>
      </c>
      <c r="O203" s="4">
        <v>5</v>
      </c>
      <c r="P203" s="4">
        <v>5</v>
      </c>
      <c r="W203" s="4">
        <v>5</v>
      </c>
      <c r="X203" s="4">
        <v>5</v>
      </c>
      <c r="AA203" s="4">
        <v>5</v>
      </c>
      <c r="AB203" s="4">
        <v>5</v>
      </c>
      <c r="AY203" s="3" t="s">
        <v>22</v>
      </c>
      <c r="AZ203" s="3" t="s">
        <v>18</v>
      </c>
      <c r="BA203" s="3" t="s">
        <v>469</v>
      </c>
      <c r="BD203" s="3" t="str">
        <f t="shared" si="7"/>
        <v>Alto</v>
      </c>
      <c r="BE203" s="3" t="s">
        <v>623</v>
      </c>
      <c r="BF203" s="3" t="s">
        <v>470</v>
      </c>
      <c r="BG203" s="3" t="s">
        <v>35</v>
      </c>
      <c r="BH203" s="3" t="s">
        <v>471</v>
      </c>
    </row>
    <row r="204" spans="1:60" x14ac:dyDescent="0.3">
      <c r="A204" s="3" t="s">
        <v>1139</v>
      </c>
      <c r="B204" s="3" t="s">
        <v>26</v>
      </c>
      <c r="C204" s="3">
        <v>16</v>
      </c>
      <c r="D204" s="3">
        <v>8</v>
      </c>
      <c r="E204" s="4">
        <v>1</v>
      </c>
      <c r="F204" s="4">
        <v>7</v>
      </c>
      <c r="I204" s="4">
        <v>5</v>
      </c>
      <c r="J204" s="4">
        <v>5</v>
      </c>
      <c r="K204" s="4">
        <v>10</v>
      </c>
      <c r="L204" s="4">
        <v>10</v>
      </c>
      <c r="M204" s="4">
        <v>5</v>
      </c>
      <c r="N204" s="4">
        <v>5</v>
      </c>
      <c r="O204" s="4">
        <v>5</v>
      </c>
      <c r="P204" s="4">
        <v>5</v>
      </c>
      <c r="W204" s="4">
        <v>5</v>
      </c>
      <c r="X204" s="4">
        <v>5</v>
      </c>
      <c r="AA204" s="4">
        <v>5</v>
      </c>
      <c r="AB204" s="4">
        <v>5</v>
      </c>
      <c r="AY204" s="3" t="s">
        <v>17</v>
      </c>
      <c r="BB204" s="3" t="s">
        <v>18</v>
      </c>
      <c r="BC204" s="3" t="s">
        <v>22</v>
      </c>
      <c r="BD204" s="3" t="str">
        <f t="shared" si="7"/>
        <v>Bajo</v>
      </c>
      <c r="BE204" s="3" t="str">
        <f t="shared" si="6"/>
        <v>Se mantuvo igual</v>
      </c>
      <c r="BF204" s="3" t="s">
        <v>472</v>
      </c>
      <c r="BG204" s="3" t="s">
        <v>35</v>
      </c>
      <c r="BH204" s="3" t="s">
        <v>35</v>
      </c>
    </row>
    <row r="205" spans="1:60" x14ac:dyDescent="0.3">
      <c r="A205" s="3" t="s">
        <v>1139</v>
      </c>
      <c r="B205" s="3" t="s">
        <v>26</v>
      </c>
      <c r="C205" s="3">
        <v>15</v>
      </c>
      <c r="D205" s="3">
        <v>10</v>
      </c>
      <c r="E205" s="4">
        <v>10</v>
      </c>
      <c r="F205" s="4">
        <v>10</v>
      </c>
      <c r="I205" s="4">
        <v>5</v>
      </c>
      <c r="J205" s="4">
        <v>5</v>
      </c>
      <c r="K205" s="4">
        <v>10</v>
      </c>
      <c r="L205" s="4">
        <v>10</v>
      </c>
      <c r="M205" s="4">
        <v>5</v>
      </c>
      <c r="N205" s="4">
        <v>5</v>
      </c>
      <c r="O205" s="4">
        <v>5</v>
      </c>
      <c r="P205" s="4">
        <v>5</v>
      </c>
      <c r="W205" s="4">
        <v>5</v>
      </c>
      <c r="X205" s="4">
        <v>5</v>
      </c>
      <c r="AA205" s="4">
        <v>5</v>
      </c>
      <c r="AB205" s="4">
        <v>5</v>
      </c>
      <c r="AY205" s="3" t="s">
        <v>18</v>
      </c>
      <c r="AZ205" s="3" t="s">
        <v>18</v>
      </c>
      <c r="BA205" s="3" t="s">
        <v>473</v>
      </c>
      <c r="BD205" s="3" t="str">
        <f t="shared" si="7"/>
        <v>Moderado</v>
      </c>
      <c r="BE205" s="3" t="str">
        <f t="shared" si="6"/>
        <v>Se mantuvo igual</v>
      </c>
      <c r="BF205" s="3" t="s">
        <v>348</v>
      </c>
      <c r="BG205" s="3" t="s">
        <v>35</v>
      </c>
      <c r="BH205" s="3" t="s">
        <v>474</v>
      </c>
    </row>
    <row r="206" spans="1:60" x14ac:dyDescent="0.3">
      <c r="A206" s="3" t="s">
        <v>1139</v>
      </c>
      <c r="B206" s="3" t="s">
        <v>16</v>
      </c>
      <c r="C206" s="3">
        <v>15</v>
      </c>
      <c r="D206" s="3">
        <v>9</v>
      </c>
      <c r="E206" s="4">
        <v>10</v>
      </c>
      <c r="F206" s="4">
        <v>10</v>
      </c>
      <c r="I206" s="4">
        <v>5</v>
      </c>
      <c r="J206" s="4">
        <v>5</v>
      </c>
      <c r="K206" s="4">
        <v>10</v>
      </c>
      <c r="L206" s="4">
        <v>10</v>
      </c>
      <c r="M206" s="4">
        <v>5</v>
      </c>
      <c r="N206" s="4">
        <v>5</v>
      </c>
      <c r="O206" s="4">
        <v>5</v>
      </c>
      <c r="P206" s="4">
        <v>5</v>
      </c>
      <c r="W206" s="4">
        <v>5</v>
      </c>
      <c r="X206" s="4">
        <v>5</v>
      </c>
      <c r="AA206" s="4">
        <v>5</v>
      </c>
      <c r="AB206" s="4">
        <v>5</v>
      </c>
      <c r="AY206" s="3" t="s">
        <v>18</v>
      </c>
      <c r="AZ206" s="3" t="s">
        <v>22</v>
      </c>
      <c r="BD206" s="3" t="str">
        <f t="shared" si="7"/>
        <v>Moderado</v>
      </c>
      <c r="BE206" s="3" t="str">
        <f t="shared" si="6"/>
        <v>Aumentó</v>
      </c>
      <c r="BF206" s="3" t="s">
        <v>295</v>
      </c>
      <c r="BG206" s="3" t="s">
        <v>358</v>
      </c>
    </row>
    <row r="207" spans="1:60" x14ac:dyDescent="0.3">
      <c r="A207" s="3" t="s">
        <v>1139</v>
      </c>
      <c r="B207" s="3" t="s">
        <v>26</v>
      </c>
      <c r="C207" s="3">
        <v>16</v>
      </c>
      <c r="D207" s="3">
        <v>10</v>
      </c>
      <c r="E207" s="4">
        <v>10</v>
      </c>
      <c r="F207" s="4">
        <v>10</v>
      </c>
      <c r="I207" s="4">
        <v>5</v>
      </c>
      <c r="J207" s="4">
        <v>5</v>
      </c>
      <c r="K207" s="4">
        <v>10</v>
      </c>
      <c r="L207" s="4">
        <v>10</v>
      </c>
      <c r="M207" s="4">
        <v>5</v>
      </c>
      <c r="N207" s="4">
        <v>5</v>
      </c>
      <c r="O207" s="4">
        <v>5</v>
      </c>
      <c r="P207" s="4">
        <v>5</v>
      </c>
      <c r="W207" s="4">
        <v>5</v>
      </c>
      <c r="X207" s="4">
        <v>5</v>
      </c>
      <c r="AA207" s="4">
        <v>5</v>
      </c>
      <c r="AB207" s="4">
        <v>5</v>
      </c>
      <c r="AY207" s="3" t="s">
        <v>18</v>
      </c>
      <c r="AZ207" s="3" t="s">
        <v>22</v>
      </c>
      <c r="BD207" s="3" t="str">
        <f t="shared" si="7"/>
        <v>Moderado</v>
      </c>
      <c r="BE207" s="3" t="str">
        <f t="shared" si="6"/>
        <v>Aumentó</v>
      </c>
      <c r="BF207" s="3" t="s">
        <v>475</v>
      </c>
      <c r="BG207" s="3" t="s">
        <v>476</v>
      </c>
      <c r="BH207" s="3" t="s">
        <v>477</v>
      </c>
    </row>
    <row r="208" spans="1:60" x14ac:dyDescent="0.3">
      <c r="A208" s="3" t="s">
        <v>1139</v>
      </c>
      <c r="B208" s="3" t="s">
        <v>26</v>
      </c>
      <c r="C208" s="3">
        <v>16</v>
      </c>
      <c r="D208" s="3">
        <v>10</v>
      </c>
      <c r="E208" s="4">
        <v>10</v>
      </c>
      <c r="F208" s="4">
        <v>10</v>
      </c>
      <c r="I208" s="4">
        <v>5</v>
      </c>
      <c r="J208" s="4">
        <v>5</v>
      </c>
      <c r="K208" s="4">
        <v>8</v>
      </c>
      <c r="L208" s="4">
        <v>10</v>
      </c>
      <c r="M208" s="4">
        <v>5</v>
      </c>
      <c r="N208" s="4">
        <v>5</v>
      </c>
      <c r="O208" s="4">
        <v>5</v>
      </c>
      <c r="P208" s="4">
        <v>5</v>
      </c>
      <c r="W208" s="4">
        <v>5</v>
      </c>
      <c r="X208" s="4">
        <v>5</v>
      </c>
      <c r="AA208" s="4">
        <v>5</v>
      </c>
      <c r="AB208" s="4">
        <v>5</v>
      </c>
      <c r="AY208" s="3" t="s">
        <v>22</v>
      </c>
      <c r="AZ208" s="3" t="s">
        <v>22</v>
      </c>
      <c r="BD208" s="3" t="str">
        <f t="shared" si="7"/>
        <v>Alto</v>
      </c>
      <c r="BE208" s="3" t="str">
        <f t="shared" si="6"/>
        <v>Aumentó</v>
      </c>
      <c r="BF208" s="3" t="s">
        <v>478</v>
      </c>
      <c r="BG208" s="3" t="s">
        <v>241</v>
      </c>
    </row>
    <row r="209" spans="1:60" x14ac:dyDescent="0.3">
      <c r="A209" s="3" t="s">
        <v>1139</v>
      </c>
      <c r="B209" s="3" t="s">
        <v>26</v>
      </c>
      <c r="C209" s="3">
        <v>15</v>
      </c>
      <c r="D209" s="3">
        <v>9</v>
      </c>
      <c r="E209" s="4">
        <v>10</v>
      </c>
      <c r="F209" s="4">
        <v>10</v>
      </c>
      <c r="I209" s="4">
        <v>5</v>
      </c>
      <c r="J209" s="4">
        <v>5</v>
      </c>
      <c r="K209" s="4">
        <v>10</v>
      </c>
      <c r="L209" s="4">
        <v>10</v>
      </c>
      <c r="M209" s="4">
        <v>5</v>
      </c>
      <c r="N209" s="4">
        <v>5</v>
      </c>
      <c r="O209" s="4">
        <v>5</v>
      </c>
      <c r="P209" s="4">
        <v>5</v>
      </c>
      <c r="W209" s="4">
        <v>5</v>
      </c>
      <c r="X209" s="4">
        <v>5</v>
      </c>
      <c r="AA209" s="4">
        <v>5</v>
      </c>
      <c r="AB209" s="4">
        <v>5</v>
      </c>
      <c r="AY209" s="3" t="s">
        <v>18</v>
      </c>
      <c r="AZ209" s="3" t="s">
        <v>18</v>
      </c>
      <c r="BD209" s="3" t="str">
        <f t="shared" si="7"/>
        <v>Moderado</v>
      </c>
      <c r="BE209" s="3" t="str">
        <f t="shared" si="6"/>
        <v>Se mantuvo igual</v>
      </c>
      <c r="BF209" s="3" t="s">
        <v>348</v>
      </c>
      <c r="BG209" s="3" t="s">
        <v>35</v>
      </c>
    </row>
    <row r="210" spans="1:60" x14ac:dyDescent="0.3">
      <c r="A210" s="3" t="s">
        <v>1139</v>
      </c>
      <c r="B210" s="3" t="s">
        <v>16</v>
      </c>
      <c r="C210" s="3">
        <v>16</v>
      </c>
      <c r="D210" s="3">
        <v>9</v>
      </c>
      <c r="E210" s="4">
        <v>9</v>
      </c>
      <c r="F210" s="4">
        <v>10</v>
      </c>
      <c r="I210" s="4">
        <v>5</v>
      </c>
      <c r="J210" s="4">
        <v>5</v>
      </c>
      <c r="K210" s="4">
        <v>10</v>
      </c>
      <c r="L210" s="4">
        <v>10</v>
      </c>
      <c r="M210" s="4">
        <v>5</v>
      </c>
      <c r="N210" s="4">
        <v>5</v>
      </c>
      <c r="O210" s="4">
        <v>5</v>
      </c>
      <c r="P210" s="4">
        <v>5</v>
      </c>
      <c r="W210" s="4">
        <v>5</v>
      </c>
      <c r="X210" s="4">
        <v>5</v>
      </c>
      <c r="AA210" s="4">
        <v>5</v>
      </c>
      <c r="AB210" s="4">
        <v>5</v>
      </c>
      <c r="AY210" s="3" t="s">
        <v>18</v>
      </c>
      <c r="AZ210" s="3" t="s">
        <v>17</v>
      </c>
      <c r="BA210" s="3" t="s">
        <v>479</v>
      </c>
      <c r="BD210" s="3" t="str">
        <f t="shared" si="7"/>
        <v>Moderado</v>
      </c>
      <c r="BE210" s="3" t="str">
        <f t="shared" si="6"/>
        <v>Se mantuvo igual</v>
      </c>
      <c r="BF210" s="3" t="s">
        <v>480</v>
      </c>
      <c r="BG210" s="3" t="s">
        <v>481</v>
      </c>
      <c r="BH210" s="3" t="s">
        <v>358</v>
      </c>
    </row>
    <row r="211" spans="1:60" x14ac:dyDescent="0.3">
      <c r="A211" s="3" t="s">
        <v>1139</v>
      </c>
      <c r="B211" s="3" t="s">
        <v>26</v>
      </c>
      <c r="C211" s="3">
        <v>16</v>
      </c>
      <c r="D211" s="3">
        <v>9</v>
      </c>
      <c r="E211" s="4">
        <v>8</v>
      </c>
      <c r="F211" s="4">
        <v>9</v>
      </c>
      <c r="I211" s="4">
        <v>5</v>
      </c>
      <c r="J211" s="4">
        <v>5</v>
      </c>
      <c r="K211" s="4">
        <v>8</v>
      </c>
      <c r="L211" s="4">
        <v>7</v>
      </c>
      <c r="M211" s="4">
        <v>5</v>
      </c>
      <c r="N211" s="4">
        <v>5</v>
      </c>
      <c r="O211" s="4">
        <v>5</v>
      </c>
      <c r="P211" s="4">
        <v>5</v>
      </c>
      <c r="W211" s="4">
        <v>5</v>
      </c>
      <c r="X211" s="4">
        <v>5</v>
      </c>
      <c r="AA211" s="4">
        <v>5</v>
      </c>
      <c r="AB211" s="4">
        <v>5</v>
      </c>
      <c r="AY211" s="3" t="s">
        <v>18</v>
      </c>
      <c r="AZ211" s="3" t="s">
        <v>18</v>
      </c>
      <c r="BA211" s="3" t="s">
        <v>161</v>
      </c>
      <c r="BD211" s="3" t="str">
        <f t="shared" si="7"/>
        <v>Moderado</v>
      </c>
      <c r="BE211" s="3" t="str">
        <f t="shared" si="6"/>
        <v>Se mantuvo igual</v>
      </c>
      <c r="BF211" s="3" t="s">
        <v>482</v>
      </c>
      <c r="BG211" s="3" t="s">
        <v>35</v>
      </c>
      <c r="BH211" s="3" t="s">
        <v>476</v>
      </c>
    </row>
    <row r="212" spans="1:60" x14ac:dyDescent="0.3">
      <c r="A212" s="3" t="s">
        <v>1139</v>
      </c>
      <c r="B212" s="3" t="s">
        <v>26</v>
      </c>
      <c r="C212" s="3">
        <v>16</v>
      </c>
      <c r="D212" s="3">
        <v>10</v>
      </c>
      <c r="E212" s="4">
        <v>10</v>
      </c>
      <c r="F212" s="4">
        <v>10</v>
      </c>
      <c r="I212" s="4">
        <v>5</v>
      </c>
      <c r="J212" s="4">
        <v>5</v>
      </c>
      <c r="K212" s="4">
        <v>10</v>
      </c>
      <c r="L212" s="4">
        <v>10</v>
      </c>
      <c r="M212" s="4">
        <v>5</v>
      </c>
      <c r="N212" s="4">
        <v>5</v>
      </c>
      <c r="O212" s="4">
        <v>5</v>
      </c>
      <c r="P212" s="4">
        <v>5</v>
      </c>
      <c r="W212" s="4">
        <v>5</v>
      </c>
      <c r="X212" s="4">
        <v>5</v>
      </c>
      <c r="AA212" s="4">
        <v>5</v>
      </c>
      <c r="AB212" s="4">
        <v>5</v>
      </c>
      <c r="AY212" s="3" t="s">
        <v>22</v>
      </c>
      <c r="AZ212" s="3" t="s">
        <v>17</v>
      </c>
      <c r="BA212" s="3" t="s">
        <v>483</v>
      </c>
      <c r="BD212" s="3" t="str">
        <f t="shared" si="7"/>
        <v>Alto</v>
      </c>
      <c r="BE212" s="3" t="s">
        <v>623</v>
      </c>
      <c r="BF212" s="3" t="s">
        <v>484</v>
      </c>
      <c r="BG212" s="3" t="s">
        <v>35</v>
      </c>
      <c r="BH212" s="3" t="s">
        <v>485</v>
      </c>
    </row>
    <row r="213" spans="1:60" x14ac:dyDescent="0.3">
      <c r="A213" s="3" t="s">
        <v>1139</v>
      </c>
      <c r="B213" s="3" t="s">
        <v>16</v>
      </c>
      <c r="C213" s="3">
        <v>15</v>
      </c>
      <c r="D213" s="3">
        <v>10</v>
      </c>
      <c r="E213" s="4">
        <v>8</v>
      </c>
      <c r="F213" s="4">
        <v>10</v>
      </c>
      <c r="I213" s="4">
        <v>5</v>
      </c>
      <c r="J213" s="4">
        <v>5</v>
      </c>
      <c r="K213" s="4">
        <v>10</v>
      </c>
      <c r="L213" s="4">
        <v>9</v>
      </c>
      <c r="M213" s="4">
        <v>5</v>
      </c>
      <c r="N213" s="4">
        <v>5</v>
      </c>
      <c r="O213" s="4">
        <v>5</v>
      </c>
      <c r="P213" s="4">
        <v>5</v>
      </c>
      <c r="W213" s="4">
        <v>5</v>
      </c>
      <c r="X213" s="4">
        <v>5</v>
      </c>
      <c r="AA213" s="4">
        <v>5</v>
      </c>
      <c r="AB213" s="4">
        <v>5</v>
      </c>
      <c r="AY213" s="3" t="s">
        <v>18</v>
      </c>
      <c r="AZ213" s="3" t="s">
        <v>22</v>
      </c>
      <c r="BD213" s="3" t="str">
        <f t="shared" si="7"/>
        <v>Moderado</v>
      </c>
      <c r="BE213" s="3" t="str">
        <f t="shared" si="6"/>
        <v>Aumentó</v>
      </c>
      <c r="BF213" s="3" t="s">
        <v>486</v>
      </c>
      <c r="BG213" s="3" t="s">
        <v>35</v>
      </c>
    </row>
    <row r="214" spans="1:60" x14ac:dyDescent="0.3">
      <c r="A214" s="3" t="s">
        <v>1139</v>
      </c>
      <c r="B214" s="3" t="s">
        <v>16</v>
      </c>
      <c r="C214" s="3">
        <v>15</v>
      </c>
      <c r="D214" s="3">
        <v>10</v>
      </c>
      <c r="E214" s="4">
        <v>10</v>
      </c>
      <c r="F214" s="4">
        <v>9</v>
      </c>
      <c r="I214" s="4">
        <v>5</v>
      </c>
      <c r="J214" s="4">
        <v>5</v>
      </c>
      <c r="K214" s="4">
        <v>10</v>
      </c>
      <c r="L214" s="4">
        <v>9</v>
      </c>
      <c r="M214" s="4">
        <v>5</v>
      </c>
      <c r="N214" s="4">
        <v>5</v>
      </c>
      <c r="O214" s="4">
        <v>5</v>
      </c>
      <c r="P214" s="4">
        <v>5</v>
      </c>
      <c r="W214" s="4">
        <v>5</v>
      </c>
      <c r="X214" s="4">
        <v>5</v>
      </c>
      <c r="AA214" s="4">
        <v>5</v>
      </c>
      <c r="AB214" s="4">
        <v>5</v>
      </c>
      <c r="AY214" s="3" t="s">
        <v>18</v>
      </c>
      <c r="AZ214" s="3" t="s">
        <v>18</v>
      </c>
      <c r="BD214" s="3" t="str">
        <f t="shared" si="7"/>
        <v>Moderado</v>
      </c>
      <c r="BE214" s="3" t="str">
        <f t="shared" si="6"/>
        <v>Se mantuvo igual</v>
      </c>
      <c r="BF214" s="3" t="s">
        <v>487</v>
      </c>
      <c r="BG214" s="3" t="s">
        <v>150</v>
      </c>
      <c r="BH214" s="3" t="s">
        <v>24</v>
      </c>
    </row>
    <row r="215" spans="1:60" x14ac:dyDescent="0.3">
      <c r="A215" s="3" t="s">
        <v>1139</v>
      </c>
      <c r="B215" s="3" t="s">
        <v>26</v>
      </c>
      <c r="C215" s="3">
        <v>15</v>
      </c>
      <c r="D215" s="3">
        <v>10</v>
      </c>
      <c r="E215" s="4">
        <v>10</v>
      </c>
      <c r="F215" s="4">
        <v>10</v>
      </c>
      <c r="I215" s="4">
        <v>5</v>
      </c>
      <c r="J215" s="4">
        <v>5</v>
      </c>
      <c r="K215" s="4">
        <v>10</v>
      </c>
      <c r="L215" s="4">
        <v>10</v>
      </c>
      <c r="M215" s="4">
        <v>5</v>
      </c>
      <c r="N215" s="4">
        <v>5</v>
      </c>
      <c r="O215" s="4">
        <v>5</v>
      </c>
      <c r="P215" s="4">
        <v>5</v>
      </c>
      <c r="W215" s="4">
        <v>5</v>
      </c>
      <c r="X215" s="4">
        <v>5</v>
      </c>
      <c r="AA215" s="4">
        <v>5</v>
      </c>
      <c r="AB215" s="4">
        <v>5</v>
      </c>
      <c r="AY215" s="3" t="s">
        <v>18</v>
      </c>
      <c r="AZ215" s="3" t="s">
        <v>18</v>
      </c>
      <c r="BA215" s="3" t="s">
        <v>488</v>
      </c>
      <c r="BD215" s="3" t="str">
        <f t="shared" si="7"/>
        <v>Moderado</v>
      </c>
      <c r="BE215" s="3" t="str">
        <f t="shared" si="6"/>
        <v>Se mantuvo igual</v>
      </c>
      <c r="BF215" s="3" t="s">
        <v>489</v>
      </c>
      <c r="BG215" s="3" t="s">
        <v>35</v>
      </c>
      <c r="BH215" s="3" t="s">
        <v>35</v>
      </c>
    </row>
    <row r="216" spans="1:60" x14ac:dyDescent="0.3">
      <c r="A216" s="3" t="s">
        <v>1139</v>
      </c>
      <c r="B216" s="3" t="s">
        <v>26</v>
      </c>
      <c r="C216" s="3">
        <v>15</v>
      </c>
      <c r="D216" s="3">
        <v>9</v>
      </c>
      <c r="E216" s="4">
        <v>7</v>
      </c>
      <c r="F216" s="4">
        <v>10</v>
      </c>
      <c r="I216" s="4">
        <v>5</v>
      </c>
      <c r="J216" s="4">
        <v>5</v>
      </c>
      <c r="K216" s="4">
        <v>10</v>
      </c>
      <c r="L216" s="4">
        <v>10</v>
      </c>
      <c r="M216" s="4">
        <v>5</v>
      </c>
      <c r="N216" s="4">
        <v>5</v>
      </c>
      <c r="O216" s="4">
        <v>5</v>
      </c>
      <c r="P216" s="4">
        <v>5</v>
      </c>
      <c r="W216" s="4">
        <v>5</v>
      </c>
      <c r="X216" s="4">
        <v>5</v>
      </c>
      <c r="AA216" s="4">
        <v>5</v>
      </c>
      <c r="AB216" s="4">
        <v>5</v>
      </c>
      <c r="AY216" s="3" t="s">
        <v>22</v>
      </c>
      <c r="AZ216" s="3" t="s">
        <v>22</v>
      </c>
      <c r="BD216" s="3" t="str">
        <f t="shared" si="7"/>
        <v>Alto</v>
      </c>
      <c r="BE216" s="3" t="str">
        <f t="shared" si="6"/>
        <v>Aumentó</v>
      </c>
      <c r="BF216" s="3" t="s">
        <v>490</v>
      </c>
      <c r="BG216" s="3" t="s">
        <v>28</v>
      </c>
    </row>
    <row r="217" spans="1:60" x14ac:dyDescent="0.3">
      <c r="A217" s="3" t="s">
        <v>1139</v>
      </c>
      <c r="B217" s="3" t="s">
        <v>26</v>
      </c>
      <c r="C217" s="3">
        <v>16</v>
      </c>
      <c r="D217" s="3">
        <v>8</v>
      </c>
      <c r="E217" s="4">
        <v>9</v>
      </c>
      <c r="F217" s="4">
        <v>10</v>
      </c>
      <c r="I217" s="4">
        <v>5</v>
      </c>
      <c r="J217" s="4">
        <v>5</v>
      </c>
      <c r="K217" s="4">
        <v>10</v>
      </c>
      <c r="L217" s="4">
        <v>10</v>
      </c>
      <c r="M217" s="4">
        <v>5</v>
      </c>
      <c r="N217" s="4">
        <v>5</v>
      </c>
      <c r="O217" s="4">
        <v>5</v>
      </c>
      <c r="P217" s="4">
        <v>5</v>
      </c>
      <c r="W217" s="4">
        <v>5</v>
      </c>
      <c r="X217" s="4">
        <v>5</v>
      </c>
      <c r="AA217" s="4">
        <v>9</v>
      </c>
      <c r="AB217" s="4">
        <v>9</v>
      </c>
      <c r="AY217" s="3" t="s">
        <v>22</v>
      </c>
      <c r="AZ217" s="3" t="s">
        <v>22</v>
      </c>
      <c r="BD217" s="3" t="str">
        <f t="shared" si="7"/>
        <v>Alto</v>
      </c>
      <c r="BE217" s="3" t="str">
        <f t="shared" si="6"/>
        <v>Aumentó</v>
      </c>
      <c r="BF217" s="3" t="s">
        <v>491</v>
      </c>
      <c r="BG217" s="3" t="s">
        <v>492</v>
      </c>
      <c r="BH217" s="3" t="s">
        <v>493</v>
      </c>
    </row>
    <row r="218" spans="1:60" x14ac:dyDescent="0.3">
      <c r="A218" s="3" t="s">
        <v>1139</v>
      </c>
      <c r="B218" s="3" t="s">
        <v>191</v>
      </c>
      <c r="C218" s="3">
        <v>16</v>
      </c>
      <c r="D218" s="3">
        <v>10</v>
      </c>
      <c r="E218" s="4">
        <v>7</v>
      </c>
      <c r="F218" s="4">
        <v>9</v>
      </c>
      <c r="I218" s="4">
        <v>5</v>
      </c>
      <c r="J218" s="4">
        <v>5</v>
      </c>
      <c r="K218" s="4">
        <v>10</v>
      </c>
      <c r="L218" s="4">
        <v>10</v>
      </c>
      <c r="M218" s="4">
        <v>5</v>
      </c>
      <c r="N218" s="4">
        <v>5</v>
      </c>
      <c r="O218" s="4">
        <v>5</v>
      </c>
      <c r="P218" s="4">
        <v>5</v>
      </c>
      <c r="W218" s="4">
        <v>5</v>
      </c>
      <c r="X218" s="4">
        <v>5</v>
      </c>
      <c r="AA218" s="4">
        <v>5</v>
      </c>
      <c r="AB218" s="4">
        <v>5</v>
      </c>
      <c r="AY218" s="3" t="s">
        <v>17</v>
      </c>
      <c r="BB218" s="3" t="s">
        <v>22</v>
      </c>
      <c r="BC218" s="3" t="s">
        <v>17</v>
      </c>
      <c r="BD218" s="3" t="str">
        <f t="shared" si="7"/>
        <v>Bajo</v>
      </c>
      <c r="BE218" s="3" t="str">
        <f t="shared" si="6"/>
        <v>Se mantuvo igual</v>
      </c>
      <c r="BF218" s="3" t="s">
        <v>494</v>
      </c>
      <c r="BG218" s="3" t="s">
        <v>93</v>
      </c>
      <c r="BH218" s="3" t="s">
        <v>495</v>
      </c>
    </row>
    <row r="219" spans="1:60" x14ac:dyDescent="0.3">
      <c r="A219" s="3" t="s">
        <v>1139</v>
      </c>
      <c r="B219" s="3" t="s">
        <v>26</v>
      </c>
      <c r="C219" s="3">
        <v>16</v>
      </c>
      <c r="D219" s="3">
        <v>10</v>
      </c>
      <c r="E219" s="4">
        <v>10</v>
      </c>
      <c r="F219" s="4">
        <v>10</v>
      </c>
      <c r="I219" s="4">
        <v>5</v>
      </c>
      <c r="J219" s="4">
        <v>5</v>
      </c>
      <c r="K219" s="4">
        <v>10</v>
      </c>
      <c r="L219" s="4">
        <v>10</v>
      </c>
      <c r="M219" s="4">
        <v>5</v>
      </c>
      <c r="N219" s="4">
        <v>5</v>
      </c>
      <c r="O219" s="4">
        <v>5</v>
      </c>
      <c r="P219" s="4">
        <v>5</v>
      </c>
      <c r="W219" s="4">
        <v>5</v>
      </c>
      <c r="X219" s="4">
        <v>5</v>
      </c>
      <c r="AA219" s="4">
        <v>5</v>
      </c>
      <c r="AB219" s="4">
        <v>5</v>
      </c>
      <c r="AY219" s="3" t="s">
        <v>22</v>
      </c>
      <c r="AZ219" s="3" t="s">
        <v>22</v>
      </c>
      <c r="BD219" s="3" t="str">
        <f t="shared" si="7"/>
        <v>Alto</v>
      </c>
      <c r="BE219" s="3" t="str">
        <f t="shared" si="6"/>
        <v>Aumentó</v>
      </c>
      <c r="BF219" s="3" t="s">
        <v>496</v>
      </c>
      <c r="BG219" s="3" t="s">
        <v>358</v>
      </c>
    </row>
    <row r="220" spans="1:60" x14ac:dyDescent="0.3">
      <c r="A220" s="3" t="s">
        <v>1139</v>
      </c>
      <c r="B220" s="3" t="s">
        <v>16</v>
      </c>
      <c r="C220" s="3">
        <v>17</v>
      </c>
      <c r="D220" s="3">
        <v>10</v>
      </c>
      <c r="E220" s="4">
        <v>10</v>
      </c>
      <c r="F220" s="4">
        <v>10</v>
      </c>
      <c r="K220" s="4">
        <v>10</v>
      </c>
      <c r="L220" s="4">
        <v>10</v>
      </c>
      <c r="M220" s="4">
        <v>10</v>
      </c>
      <c r="N220" s="4">
        <v>10</v>
      </c>
      <c r="O220" s="4">
        <v>10</v>
      </c>
      <c r="P220" s="4">
        <v>10</v>
      </c>
      <c r="AE220" s="4">
        <v>10</v>
      </c>
      <c r="AF220" s="4">
        <v>10</v>
      </c>
      <c r="AY220" s="3" t="s">
        <v>22</v>
      </c>
      <c r="AZ220" s="3" t="s">
        <v>17</v>
      </c>
      <c r="BA220" s="3" t="s">
        <v>497</v>
      </c>
      <c r="BD220" s="3" t="str">
        <f t="shared" si="7"/>
        <v>Alto</v>
      </c>
      <c r="BE220" s="3" t="s">
        <v>623</v>
      </c>
      <c r="BF220" s="3" t="s">
        <v>498</v>
      </c>
      <c r="BG220" s="3" t="s">
        <v>499</v>
      </c>
    </row>
    <row r="221" spans="1:60" x14ac:dyDescent="0.3">
      <c r="A221" s="3" t="s">
        <v>1139</v>
      </c>
      <c r="B221" s="3" t="s">
        <v>16</v>
      </c>
      <c r="C221" s="3">
        <v>17</v>
      </c>
      <c r="D221" s="3">
        <v>8</v>
      </c>
      <c r="E221" s="4">
        <v>8</v>
      </c>
      <c r="F221" s="4">
        <v>9</v>
      </c>
      <c r="K221" s="4">
        <v>9</v>
      </c>
      <c r="L221" s="4">
        <v>9</v>
      </c>
      <c r="M221" s="4">
        <v>8</v>
      </c>
      <c r="N221" s="4">
        <v>8</v>
      </c>
      <c r="O221" s="4">
        <v>8</v>
      </c>
      <c r="P221" s="4">
        <v>8</v>
      </c>
      <c r="AE221" s="4">
        <v>9</v>
      </c>
      <c r="AF221" s="4">
        <v>10</v>
      </c>
      <c r="AY221" s="3" t="s">
        <v>22</v>
      </c>
      <c r="AZ221" s="3" t="s">
        <v>17</v>
      </c>
      <c r="BA221" s="3" t="s">
        <v>500</v>
      </c>
      <c r="BD221" s="3" t="str">
        <f t="shared" si="7"/>
        <v>Alto</v>
      </c>
      <c r="BE221" s="3" t="s">
        <v>623</v>
      </c>
      <c r="BF221" s="3" t="s">
        <v>501</v>
      </c>
      <c r="BG221" s="3" t="s">
        <v>502</v>
      </c>
      <c r="BH221" s="3" t="s">
        <v>503</v>
      </c>
    </row>
    <row r="222" spans="1:60" x14ac:dyDescent="0.3">
      <c r="A222" s="3" t="s">
        <v>1139</v>
      </c>
      <c r="B222" s="3" t="s">
        <v>16</v>
      </c>
      <c r="C222" s="3">
        <v>16</v>
      </c>
      <c r="D222" s="3">
        <v>10</v>
      </c>
      <c r="E222" s="4">
        <v>10</v>
      </c>
      <c r="F222" s="4">
        <v>9</v>
      </c>
      <c r="K222" s="4">
        <v>10</v>
      </c>
      <c r="L222" s="4">
        <v>9</v>
      </c>
      <c r="M222" s="4">
        <v>10</v>
      </c>
      <c r="N222" s="4">
        <v>7</v>
      </c>
      <c r="O222" s="4">
        <v>8</v>
      </c>
      <c r="P222" s="4">
        <v>9</v>
      </c>
      <c r="AE222" s="4">
        <v>10</v>
      </c>
      <c r="AF222" s="4">
        <v>5</v>
      </c>
      <c r="AY222" s="3" t="s">
        <v>17</v>
      </c>
      <c r="BB222" s="3" t="s">
        <v>17</v>
      </c>
      <c r="BC222" s="3" t="s">
        <v>22</v>
      </c>
      <c r="BD222" s="3" t="str">
        <f t="shared" si="7"/>
        <v>Bajo</v>
      </c>
      <c r="BE222" s="3" t="str">
        <f t="shared" si="6"/>
        <v>Se mantuvo igual</v>
      </c>
      <c r="BF222" s="3" t="s">
        <v>455</v>
      </c>
      <c r="BG222" s="3" t="s">
        <v>504</v>
      </c>
    </row>
    <row r="223" spans="1:60" x14ac:dyDescent="0.3">
      <c r="A223" s="3" t="s">
        <v>1139</v>
      </c>
      <c r="B223" s="3" t="s">
        <v>26</v>
      </c>
      <c r="C223" s="3">
        <v>16</v>
      </c>
      <c r="D223" s="3">
        <v>10</v>
      </c>
      <c r="E223" s="4">
        <v>10</v>
      </c>
      <c r="F223" s="4">
        <v>10</v>
      </c>
      <c r="K223" s="4">
        <v>10</v>
      </c>
      <c r="L223" s="4">
        <v>10</v>
      </c>
      <c r="M223" s="4">
        <v>8</v>
      </c>
      <c r="N223" s="4">
        <v>8</v>
      </c>
      <c r="O223" s="4">
        <v>5</v>
      </c>
      <c r="P223" s="4">
        <v>5</v>
      </c>
      <c r="AE223" s="4">
        <v>8</v>
      </c>
      <c r="AF223" s="4">
        <v>8</v>
      </c>
      <c r="AY223" s="3" t="s">
        <v>22</v>
      </c>
      <c r="AZ223" s="3" t="s">
        <v>18</v>
      </c>
      <c r="BA223" s="3" t="s">
        <v>505</v>
      </c>
      <c r="BD223" s="3" t="str">
        <f t="shared" si="7"/>
        <v>Alto</v>
      </c>
      <c r="BE223" s="3" t="s">
        <v>623</v>
      </c>
      <c r="BF223" s="3" t="s">
        <v>187</v>
      </c>
      <c r="BG223" s="3" t="s">
        <v>506</v>
      </c>
      <c r="BH223" s="3" t="s">
        <v>113</v>
      </c>
    </row>
    <row r="224" spans="1:60" x14ac:dyDescent="0.3">
      <c r="A224" s="3" t="s">
        <v>1139</v>
      </c>
      <c r="B224" s="3" t="s">
        <v>26</v>
      </c>
      <c r="C224" s="3">
        <v>16</v>
      </c>
      <c r="D224" s="3">
        <v>10</v>
      </c>
      <c r="E224" s="4">
        <v>10</v>
      </c>
      <c r="F224" s="4">
        <v>10</v>
      </c>
      <c r="K224" s="4">
        <v>7</v>
      </c>
      <c r="L224" s="4">
        <v>8</v>
      </c>
      <c r="M224" s="4">
        <v>10</v>
      </c>
      <c r="N224" s="4">
        <v>10</v>
      </c>
      <c r="O224" s="4">
        <v>5</v>
      </c>
      <c r="P224" s="4">
        <v>1</v>
      </c>
      <c r="AE224" s="4">
        <v>10</v>
      </c>
      <c r="AF224" s="4">
        <v>10</v>
      </c>
      <c r="AY224" s="3" t="s">
        <v>22</v>
      </c>
      <c r="AZ224" s="3" t="s">
        <v>22</v>
      </c>
      <c r="BD224" s="3" t="str">
        <f t="shared" si="7"/>
        <v>Alto</v>
      </c>
      <c r="BE224" s="3" t="str">
        <f t="shared" si="6"/>
        <v>Aumentó</v>
      </c>
      <c r="BF224" s="3" t="s">
        <v>507</v>
      </c>
      <c r="BG224" s="3" t="s">
        <v>508</v>
      </c>
      <c r="BH224" s="3" t="s">
        <v>28</v>
      </c>
    </row>
    <row r="225" spans="1:60" x14ac:dyDescent="0.3">
      <c r="A225" s="3" t="s">
        <v>1139</v>
      </c>
      <c r="B225" s="3" t="s">
        <v>26</v>
      </c>
      <c r="C225" s="3">
        <v>17</v>
      </c>
      <c r="D225" s="3">
        <v>7</v>
      </c>
      <c r="E225" s="4">
        <v>9</v>
      </c>
      <c r="F225" s="4">
        <v>9</v>
      </c>
      <c r="K225" s="4">
        <v>10</v>
      </c>
      <c r="L225" s="4">
        <v>10</v>
      </c>
      <c r="M225" s="4">
        <v>6</v>
      </c>
      <c r="N225" s="4">
        <v>1</v>
      </c>
      <c r="O225" s="4">
        <v>6</v>
      </c>
      <c r="P225" s="4">
        <v>2</v>
      </c>
      <c r="AE225" s="4">
        <v>8</v>
      </c>
      <c r="AF225" s="4">
        <v>7</v>
      </c>
      <c r="AY225" s="3" t="s">
        <v>22</v>
      </c>
      <c r="AZ225" s="3" t="s">
        <v>17</v>
      </c>
      <c r="BD225" s="3" t="str">
        <f t="shared" si="7"/>
        <v>Alto</v>
      </c>
      <c r="BE225" s="3" t="s">
        <v>623</v>
      </c>
      <c r="BF225" s="3" t="s">
        <v>48</v>
      </c>
      <c r="BG225" s="3" t="s">
        <v>509</v>
      </c>
    </row>
    <row r="226" spans="1:60" x14ac:dyDescent="0.3">
      <c r="A226" s="3" t="s">
        <v>1139</v>
      </c>
      <c r="B226" s="3" t="s">
        <v>26</v>
      </c>
      <c r="C226" s="3">
        <v>18</v>
      </c>
      <c r="D226" s="3">
        <v>9</v>
      </c>
      <c r="E226" s="4">
        <v>10</v>
      </c>
      <c r="F226" s="4">
        <v>10</v>
      </c>
      <c r="K226" s="4">
        <v>5</v>
      </c>
      <c r="L226" s="4">
        <v>9</v>
      </c>
      <c r="M226" s="4">
        <v>10</v>
      </c>
      <c r="N226" s="4">
        <v>8</v>
      </c>
      <c r="O226" s="4">
        <v>10</v>
      </c>
      <c r="P226" s="4">
        <v>10</v>
      </c>
      <c r="AE226" s="4">
        <v>9</v>
      </c>
      <c r="AF226" s="4">
        <v>10</v>
      </c>
      <c r="AY226" s="3" t="s">
        <v>18</v>
      </c>
      <c r="AZ226" s="3" t="s">
        <v>18</v>
      </c>
      <c r="BA226" s="3" t="s">
        <v>510</v>
      </c>
      <c r="BD226" s="3" t="str">
        <f t="shared" si="7"/>
        <v>Moderado</v>
      </c>
      <c r="BE226" s="3" t="str">
        <f t="shared" si="6"/>
        <v>Se mantuvo igual</v>
      </c>
      <c r="BF226" s="3" t="s">
        <v>511</v>
      </c>
      <c r="BG226" s="3" t="s">
        <v>512</v>
      </c>
      <c r="BH226" s="3" t="s">
        <v>513</v>
      </c>
    </row>
    <row r="227" spans="1:60" x14ac:dyDescent="0.3">
      <c r="A227" s="3" t="s">
        <v>1139</v>
      </c>
      <c r="B227" s="3" t="s">
        <v>26</v>
      </c>
      <c r="C227" s="3">
        <v>17</v>
      </c>
      <c r="D227" s="3">
        <v>8</v>
      </c>
      <c r="E227" s="4">
        <v>8</v>
      </c>
      <c r="F227" s="4">
        <v>10</v>
      </c>
      <c r="K227" s="4">
        <v>7</v>
      </c>
      <c r="L227" s="4">
        <v>8</v>
      </c>
      <c r="M227" s="4">
        <v>8</v>
      </c>
      <c r="N227" s="4">
        <v>8</v>
      </c>
      <c r="O227" s="4">
        <v>7</v>
      </c>
      <c r="P227" s="4">
        <v>7</v>
      </c>
      <c r="AE227" s="4">
        <v>9</v>
      </c>
      <c r="AF227" s="4">
        <v>8</v>
      </c>
      <c r="AY227" s="3" t="s">
        <v>22</v>
      </c>
      <c r="AZ227" s="3" t="s">
        <v>18</v>
      </c>
      <c r="BA227" s="3" t="s">
        <v>514</v>
      </c>
      <c r="BD227" s="3" t="str">
        <f t="shared" si="7"/>
        <v>Alto</v>
      </c>
      <c r="BE227" s="3" t="s">
        <v>623</v>
      </c>
      <c r="BF227" s="3" t="s">
        <v>515</v>
      </c>
      <c r="BG227" s="3" t="s">
        <v>516</v>
      </c>
      <c r="BH227" s="3" t="s">
        <v>517</v>
      </c>
    </row>
    <row r="228" spans="1:60" x14ac:dyDescent="0.3">
      <c r="A228" s="3" t="s">
        <v>1139</v>
      </c>
      <c r="B228" s="3" t="s">
        <v>26</v>
      </c>
      <c r="C228" s="3">
        <v>17</v>
      </c>
      <c r="D228" s="3">
        <v>8</v>
      </c>
      <c r="E228" s="4">
        <v>9</v>
      </c>
      <c r="F228" s="4">
        <v>9</v>
      </c>
      <c r="K228" s="4">
        <v>10</v>
      </c>
      <c r="L228" s="4">
        <v>10</v>
      </c>
      <c r="M228" s="4">
        <v>7</v>
      </c>
      <c r="N228" s="4">
        <v>8</v>
      </c>
      <c r="O228" s="4">
        <v>8</v>
      </c>
      <c r="P228" s="4">
        <v>9</v>
      </c>
      <c r="AE228" s="4">
        <v>9</v>
      </c>
      <c r="AF228" s="4">
        <v>7</v>
      </c>
      <c r="AY228" s="3" t="s">
        <v>22</v>
      </c>
      <c r="AZ228" s="3" t="s">
        <v>18</v>
      </c>
      <c r="BD228" s="3" t="str">
        <f t="shared" si="7"/>
        <v>Alto</v>
      </c>
      <c r="BE228" s="3" t="s">
        <v>623</v>
      </c>
      <c r="BF228" s="3" t="s">
        <v>518</v>
      </c>
      <c r="BG228" s="3" t="s">
        <v>519</v>
      </c>
      <c r="BH228" s="3" t="s">
        <v>113</v>
      </c>
    </row>
    <row r="229" spans="1:60" x14ac:dyDescent="0.3">
      <c r="A229" s="3" t="s">
        <v>1139</v>
      </c>
      <c r="B229" s="3" t="s">
        <v>26</v>
      </c>
      <c r="C229" s="3">
        <v>16</v>
      </c>
      <c r="D229" s="3">
        <v>5</v>
      </c>
      <c r="E229" s="4">
        <v>6</v>
      </c>
      <c r="F229" s="4">
        <v>6</v>
      </c>
      <c r="K229" s="4">
        <v>6</v>
      </c>
      <c r="L229" s="4">
        <v>5</v>
      </c>
      <c r="M229" s="4">
        <v>6</v>
      </c>
      <c r="N229" s="4">
        <v>7</v>
      </c>
      <c r="O229" s="4">
        <v>6</v>
      </c>
      <c r="P229" s="4">
        <v>5</v>
      </c>
      <c r="AE229" s="4">
        <v>7</v>
      </c>
      <c r="AF229" s="4">
        <v>8</v>
      </c>
      <c r="AY229" s="3" t="s">
        <v>18</v>
      </c>
      <c r="AZ229" s="3" t="s">
        <v>18</v>
      </c>
      <c r="BA229" s="3" t="s">
        <v>209</v>
      </c>
      <c r="BD229" s="3" t="str">
        <f t="shared" si="7"/>
        <v>Moderado</v>
      </c>
      <c r="BE229" s="3" t="str">
        <f t="shared" si="6"/>
        <v>Se mantuvo igual</v>
      </c>
      <c r="BF229" s="3" t="s">
        <v>520</v>
      </c>
      <c r="BG229" s="3" t="s">
        <v>521</v>
      </c>
      <c r="BH229" s="3" t="s">
        <v>522</v>
      </c>
    </row>
    <row r="230" spans="1:60" x14ac:dyDescent="0.3">
      <c r="A230" s="3" t="s">
        <v>1139</v>
      </c>
      <c r="B230" s="3" t="s">
        <v>26</v>
      </c>
      <c r="C230" s="3">
        <v>17</v>
      </c>
      <c r="D230" s="3">
        <v>10</v>
      </c>
      <c r="E230" s="4">
        <v>10</v>
      </c>
      <c r="F230" s="4">
        <v>10</v>
      </c>
      <c r="K230" s="4">
        <v>8</v>
      </c>
      <c r="L230" s="4">
        <v>9</v>
      </c>
      <c r="M230" s="4">
        <v>10</v>
      </c>
      <c r="N230" s="4">
        <v>9</v>
      </c>
      <c r="O230" s="4">
        <v>8</v>
      </c>
      <c r="P230" s="4">
        <v>7</v>
      </c>
      <c r="AE230" s="4">
        <v>10</v>
      </c>
      <c r="AF230" s="4">
        <v>10</v>
      </c>
      <c r="AY230" s="3" t="s">
        <v>22</v>
      </c>
      <c r="AZ230" s="3" t="s">
        <v>18</v>
      </c>
      <c r="BA230" s="3" t="s">
        <v>523</v>
      </c>
      <c r="BD230" s="3" t="str">
        <f t="shared" si="7"/>
        <v>Alto</v>
      </c>
      <c r="BE230" s="3" t="s">
        <v>623</v>
      </c>
      <c r="BF230" s="3" t="s">
        <v>524</v>
      </c>
      <c r="BG230" s="3" t="s">
        <v>525</v>
      </c>
      <c r="BH230" s="3" t="s">
        <v>526</v>
      </c>
    </row>
    <row r="231" spans="1:60" x14ac:dyDescent="0.3">
      <c r="A231" s="3" t="s">
        <v>1139</v>
      </c>
      <c r="B231" s="3" t="s">
        <v>26</v>
      </c>
      <c r="C231" s="3">
        <v>17</v>
      </c>
      <c r="D231" s="3">
        <v>10</v>
      </c>
      <c r="E231" s="4">
        <v>9</v>
      </c>
      <c r="F231" s="4">
        <v>10</v>
      </c>
      <c r="K231" s="4">
        <v>10</v>
      </c>
      <c r="L231" s="4">
        <v>10</v>
      </c>
      <c r="M231" s="4">
        <v>8</v>
      </c>
      <c r="N231" s="4">
        <v>8</v>
      </c>
      <c r="O231" s="4">
        <v>8</v>
      </c>
      <c r="P231" s="4">
        <v>7</v>
      </c>
      <c r="AE231" s="4">
        <v>10</v>
      </c>
      <c r="AF231" s="4">
        <v>10</v>
      </c>
      <c r="AY231" s="3" t="s">
        <v>22</v>
      </c>
      <c r="AZ231" s="3" t="s">
        <v>17</v>
      </c>
      <c r="BA231" s="3" t="s">
        <v>527</v>
      </c>
      <c r="BD231" s="3" t="str">
        <f t="shared" si="7"/>
        <v>Alto</v>
      </c>
      <c r="BE231" s="3" t="s">
        <v>623</v>
      </c>
      <c r="BF231" s="3" t="s">
        <v>362</v>
      </c>
      <c r="BG231" s="3" t="s">
        <v>499</v>
      </c>
      <c r="BH231" s="3" t="s">
        <v>528</v>
      </c>
    </row>
    <row r="232" spans="1:60" x14ac:dyDescent="0.3">
      <c r="A232" s="3" t="s">
        <v>1139</v>
      </c>
      <c r="B232" s="3" t="s">
        <v>191</v>
      </c>
      <c r="C232" s="3">
        <v>16</v>
      </c>
      <c r="D232" s="3">
        <v>7</v>
      </c>
      <c r="E232" s="4">
        <v>8</v>
      </c>
      <c r="F232" s="4">
        <v>8</v>
      </c>
      <c r="K232" s="4">
        <v>8</v>
      </c>
      <c r="L232" s="4">
        <v>8</v>
      </c>
      <c r="M232" s="4">
        <v>9</v>
      </c>
      <c r="N232" s="4">
        <v>9</v>
      </c>
      <c r="O232" s="4">
        <v>7</v>
      </c>
      <c r="P232" s="4">
        <v>8</v>
      </c>
      <c r="AE232" s="4">
        <v>8</v>
      </c>
      <c r="AF232" s="4">
        <v>9</v>
      </c>
      <c r="AY232" s="3" t="s">
        <v>22</v>
      </c>
      <c r="AZ232" s="3" t="s">
        <v>22</v>
      </c>
      <c r="BA232" s="3" t="s">
        <v>529</v>
      </c>
      <c r="BD232" s="3" t="str">
        <f t="shared" si="7"/>
        <v>Alto</v>
      </c>
      <c r="BE232" s="3" t="str">
        <f t="shared" si="6"/>
        <v>Aumentó</v>
      </c>
      <c r="BF232" s="3" t="s">
        <v>530</v>
      </c>
      <c r="BG232" s="3" t="s">
        <v>531</v>
      </c>
      <c r="BH232" s="3" t="s">
        <v>532</v>
      </c>
    </row>
    <row r="233" spans="1:60" x14ac:dyDescent="0.3">
      <c r="A233" s="3" t="s">
        <v>1139</v>
      </c>
      <c r="B233" s="3" t="s">
        <v>26</v>
      </c>
      <c r="C233" s="3">
        <v>17</v>
      </c>
      <c r="D233" s="3">
        <v>9</v>
      </c>
      <c r="E233" s="4">
        <v>10</v>
      </c>
      <c r="F233" s="4">
        <v>8</v>
      </c>
      <c r="K233" s="4">
        <v>10</v>
      </c>
      <c r="L233" s="4">
        <v>8</v>
      </c>
      <c r="M233" s="4">
        <v>10</v>
      </c>
      <c r="N233" s="4">
        <v>8</v>
      </c>
      <c r="O233" s="4">
        <v>10</v>
      </c>
      <c r="P233" s="4">
        <v>7</v>
      </c>
      <c r="AE233" s="4">
        <v>10</v>
      </c>
      <c r="AF233" s="4">
        <v>8</v>
      </c>
      <c r="AY233" s="3" t="s">
        <v>18</v>
      </c>
      <c r="AZ233" s="3" t="s">
        <v>22</v>
      </c>
      <c r="BA233" s="3" t="s">
        <v>61</v>
      </c>
      <c r="BD233" s="3" t="str">
        <f t="shared" si="7"/>
        <v>Moderado</v>
      </c>
      <c r="BE233" s="3" t="str">
        <f t="shared" si="6"/>
        <v>Aumentó</v>
      </c>
      <c r="BF233" s="3" t="s">
        <v>533</v>
      </c>
      <c r="BG233" s="3" t="s">
        <v>534</v>
      </c>
      <c r="BH233" s="3" t="s">
        <v>535</v>
      </c>
    </row>
    <row r="234" spans="1:60" x14ac:dyDescent="0.3">
      <c r="A234" s="3" t="s">
        <v>1139</v>
      </c>
      <c r="B234" s="3" t="s">
        <v>26</v>
      </c>
      <c r="C234" s="3">
        <v>17</v>
      </c>
      <c r="D234" s="3">
        <v>10</v>
      </c>
      <c r="E234" s="4">
        <v>10</v>
      </c>
      <c r="F234" s="4">
        <v>10</v>
      </c>
      <c r="K234" s="4">
        <v>10</v>
      </c>
      <c r="L234" s="4">
        <v>10</v>
      </c>
      <c r="M234" s="4">
        <v>10</v>
      </c>
      <c r="N234" s="4">
        <v>10</v>
      </c>
      <c r="O234" s="4">
        <v>10</v>
      </c>
      <c r="P234" s="4">
        <v>10</v>
      </c>
      <c r="AE234" s="4">
        <v>10</v>
      </c>
      <c r="AF234" s="4">
        <v>10</v>
      </c>
      <c r="AY234" s="3" t="s">
        <v>17</v>
      </c>
      <c r="BB234" s="3" t="s">
        <v>18</v>
      </c>
      <c r="BC234" s="3" t="s">
        <v>22</v>
      </c>
      <c r="BD234" s="3" t="str">
        <f t="shared" si="7"/>
        <v>Bajo</v>
      </c>
      <c r="BE234" s="3" t="str">
        <f t="shared" si="6"/>
        <v>Se mantuvo igual</v>
      </c>
      <c r="BF234" s="3" t="s">
        <v>536</v>
      </c>
      <c r="BG234" s="3" t="s">
        <v>537</v>
      </c>
      <c r="BH234" s="3" t="s">
        <v>538</v>
      </c>
    </row>
    <row r="235" spans="1:60" x14ac:dyDescent="0.3">
      <c r="A235" s="3" t="s">
        <v>1139</v>
      </c>
      <c r="B235" s="3" t="s">
        <v>191</v>
      </c>
      <c r="C235" s="3">
        <v>16</v>
      </c>
      <c r="D235" s="3">
        <v>10</v>
      </c>
      <c r="E235" s="4">
        <v>10</v>
      </c>
      <c r="F235" s="4">
        <v>10</v>
      </c>
      <c r="K235" s="4">
        <v>10</v>
      </c>
      <c r="L235" s="4">
        <v>10</v>
      </c>
      <c r="M235" s="4">
        <v>10</v>
      </c>
      <c r="N235" s="4">
        <v>10</v>
      </c>
      <c r="O235" s="4">
        <v>10</v>
      </c>
      <c r="P235" s="4">
        <v>10</v>
      </c>
      <c r="AE235" s="4">
        <v>10</v>
      </c>
      <c r="AF235" s="4">
        <v>10</v>
      </c>
      <c r="AY235" s="3" t="s">
        <v>22</v>
      </c>
      <c r="AZ235" s="3" t="s">
        <v>17</v>
      </c>
      <c r="BA235" s="3" t="s">
        <v>539</v>
      </c>
      <c r="BD235" s="3" t="str">
        <f t="shared" si="7"/>
        <v>Alto</v>
      </c>
      <c r="BE235" s="3" t="s">
        <v>623</v>
      </c>
      <c r="BF235" s="3" t="s">
        <v>540</v>
      </c>
      <c r="BG235" s="3" t="s">
        <v>24</v>
      </c>
      <c r="BH235" s="3" t="s">
        <v>476</v>
      </c>
    </row>
    <row r="236" spans="1:60" x14ac:dyDescent="0.3">
      <c r="A236" s="3" t="s">
        <v>1139</v>
      </c>
      <c r="B236" s="3" t="s">
        <v>26</v>
      </c>
      <c r="C236" s="3">
        <v>16</v>
      </c>
      <c r="D236" s="3">
        <v>8</v>
      </c>
      <c r="E236" s="4">
        <v>9</v>
      </c>
      <c r="F236" s="4">
        <v>9</v>
      </c>
      <c r="K236" s="4">
        <v>9</v>
      </c>
      <c r="L236" s="4">
        <v>9</v>
      </c>
      <c r="M236" s="4">
        <v>9</v>
      </c>
      <c r="N236" s="4">
        <v>9</v>
      </c>
      <c r="O236" s="4">
        <v>9</v>
      </c>
      <c r="P236" s="4">
        <v>9</v>
      </c>
      <c r="AE236" s="4">
        <v>9</v>
      </c>
      <c r="AF236" s="4">
        <v>9</v>
      </c>
      <c r="AY236" s="3" t="s">
        <v>18</v>
      </c>
      <c r="AZ236" s="3" t="s">
        <v>18</v>
      </c>
      <c r="BA236" s="3" t="s">
        <v>541</v>
      </c>
      <c r="BD236" s="3" t="str">
        <f t="shared" si="7"/>
        <v>Moderado</v>
      </c>
      <c r="BE236" s="3" t="str">
        <f t="shared" si="6"/>
        <v>Se mantuvo igual</v>
      </c>
      <c r="BF236" s="3" t="s">
        <v>542</v>
      </c>
      <c r="BG236" s="3" t="s">
        <v>543</v>
      </c>
      <c r="BH236" s="3" t="s">
        <v>544</v>
      </c>
    </row>
    <row r="237" spans="1:60" x14ac:dyDescent="0.3">
      <c r="A237" s="3" t="s">
        <v>1139</v>
      </c>
      <c r="B237" s="3" t="s">
        <v>26</v>
      </c>
      <c r="C237" s="3">
        <v>17</v>
      </c>
      <c r="D237" s="3">
        <v>10</v>
      </c>
      <c r="E237" s="4">
        <v>10</v>
      </c>
      <c r="F237" s="4">
        <v>10</v>
      </c>
      <c r="K237" s="4">
        <v>8</v>
      </c>
      <c r="L237" s="4">
        <v>8</v>
      </c>
      <c r="M237" s="4">
        <v>8</v>
      </c>
      <c r="N237" s="4">
        <v>8</v>
      </c>
      <c r="O237" s="4">
        <v>8</v>
      </c>
      <c r="P237" s="4">
        <v>8</v>
      </c>
      <c r="AE237" s="4">
        <v>10</v>
      </c>
      <c r="AF237" s="4">
        <v>10</v>
      </c>
      <c r="AY237" s="3" t="s">
        <v>22</v>
      </c>
      <c r="AZ237" s="3" t="s">
        <v>22</v>
      </c>
      <c r="BA237" s="3" t="s">
        <v>545</v>
      </c>
      <c r="BD237" s="3" t="str">
        <f t="shared" si="7"/>
        <v>Alto</v>
      </c>
      <c r="BE237" s="3" t="str">
        <f t="shared" si="6"/>
        <v>Aumentó</v>
      </c>
      <c r="BF237" s="3" t="s">
        <v>98</v>
      </c>
      <c r="BG237" s="3" t="s">
        <v>546</v>
      </c>
      <c r="BH237" s="3" t="s">
        <v>547</v>
      </c>
    </row>
    <row r="238" spans="1:60" x14ac:dyDescent="0.3">
      <c r="A238" s="3" t="s">
        <v>1139</v>
      </c>
      <c r="B238" s="3" t="s">
        <v>26</v>
      </c>
      <c r="C238" s="3">
        <v>16</v>
      </c>
      <c r="D238" s="3">
        <v>9</v>
      </c>
      <c r="E238" s="4">
        <v>8</v>
      </c>
      <c r="F238" s="4">
        <v>10</v>
      </c>
      <c r="K238" s="4">
        <v>7</v>
      </c>
      <c r="L238" s="4">
        <v>9</v>
      </c>
      <c r="M238" s="4">
        <v>7</v>
      </c>
      <c r="N238" s="4">
        <v>8</v>
      </c>
      <c r="O238" s="4">
        <v>6</v>
      </c>
      <c r="P238" s="4">
        <v>6</v>
      </c>
      <c r="AE238" s="4">
        <v>9</v>
      </c>
      <c r="AF238" s="4">
        <v>8</v>
      </c>
      <c r="AY238" s="3" t="s">
        <v>22</v>
      </c>
      <c r="AZ238" s="3" t="s">
        <v>17</v>
      </c>
      <c r="BA238" s="3" t="s">
        <v>548</v>
      </c>
      <c r="BD238" s="3" t="str">
        <f t="shared" si="7"/>
        <v>Alto</v>
      </c>
      <c r="BE238" s="3" t="s">
        <v>623</v>
      </c>
      <c r="BF238" s="3" t="s">
        <v>549</v>
      </c>
      <c r="BG238" s="3" t="s">
        <v>550</v>
      </c>
      <c r="BH238" s="3" t="s">
        <v>548</v>
      </c>
    </row>
    <row r="239" spans="1:60" x14ac:dyDescent="0.3">
      <c r="A239" s="3" t="s">
        <v>1139</v>
      </c>
      <c r="B239" s="3" t="s">
        <v>26</v>
      </c>
      <c r="C239" s="3">
        <v>16</v>
      </c>
      <c r="D239" s="3">
        <v>10</v>
      </c>
      <c r="E239" s="4">
        <v>7</v>
      </c>
      <c r="F239" s="4">
        <v>8</v>
      </c>
      <c r="K239" s="4">
        <v>10</v>
      </c>
      <c r="L239" s="4">
        <v>10</v>
      </c>
      <c r="M239" s="4">
        <v>7</v>
      </c>
      <c r="N239" s="4">
        <v>6</v>
      </c>
      <c r="O239" s="4">
        <v>8</v>
      </c>
      <c r="P239" s="4">
        <v>7</v>
      </c>
      <c r="AE239" s="4">
        <v>10</v>
      </c>
      <c r="AF239" s="4">
        <v>10</v>
      </c>
      <c r="AY239" s="3" t="s">
        <v>22</v>
      </c>
      <c r="AZ239" s="3" t="s">
        <v>18</v>
      </c>
      <c r="BA239" s="3" t="s">
        <v>551</v>
      </c>
      <c r="BD239" s="3" t="str">
        <f t="shared" si="7"/>
        <v>Alto</v>
      </c>
      <c r="BE239" s="3" t="s">
        <v>623</v>
      </c>
      <c r="BF239" s="3" t="s">
        <v>552</v>
      </c>
      <c r="BG239" s="3" t="s">
        <v>543</v>
      </c>
      <c r="BH239" s="3" t="s">
        <v>553</v>
      </c>
    </row>
    <row r="240" spans="1:60" x14ac:dyDescent="0.3">
      <c r="A240" s="3" t="s">
        <v>1139</v>
      </c>
      <c r="B240" s="3" t="s">
        <v>26</v>
      </c>
      <c r="C240" s="3">
        <v>16</v>
      </c>
      <c r="D240" s="3">
        <v>8</v>
      </c>
      <c r="E240" s="4">
        <v>10</v>
      </c>
      <c r="F240" s="4">
        <v>10</v>
      </c>
      <c r="I240" s="4">
        <v>5</v>
      </c>
      <c r="J240" s="4">
        <v>5</v>
      </c>
      <c r="K240" s="4">
        <v>10</v>
      </c>
      <c r="L240" s="4">
        <v>10</v>
      </c>
      <c r="M240" s="4">
        <v>5</v>
      </c>
      <c r="N240" s="4">
        <v>5</v>
      </c>
      <c r="O240" s="4">
        <v>5</v>
      </c>
      <c r="P240" s="4">
        <v>5</v>
      </c>
      <c r="W240" s="4">
        <v>5</v>
      </c>
      <c r="X240" s="4">
        <v>5</v>
      </c>
      <c r="AA240" s="4">
        <v>5</v>
      </c>
      <c r="AB240" s="4">
        <v>5</v>
      </c>
      <c r="AY240" s="3" t="s">
        <v>18</v>
      </c>
      <c r="AZ240" s="3" t="s">
        <v>18</v>
      </c>
      <c r="BD240" s="3" t="str">
        <f>IF(AY240="Sí", "Alto", IF(AY240="Tal vez", "Moderado", IF(AY240="No", "Bajo", "")))</f>
        <v>Moderado</v>
      </c>
      <c r="BE240" s="3" t="str">
        <f>IF(AZ240="Sí", "Aumentó", IF(AY240="Tal vez", "Se mantuvo igual", IF(AY240="No", "Se mantuvo igual", "")))</f>
        <v>Se mantuvo igual</v>
      </c>
      <c r="BF240" s="3" t="s">
        <v>554</v>
      </c>
      <c r="BG240" s="3" t="s">
        <v>348</v>
      </c>
    </row>
    <row r="241" spans="1:59" x14ac:dyDescent="0.3">
      <c r="A241" s="3" t="s">
        <v>1139</v>
      </c>
      <c r="B241" s="3" t="s">
        <v>16</v>
      </c>
      <c r="C241" s="3">
        <v>16</v>
      </c>
      <c r="D241" s="3">
        <v>10</v>
      </c>
      <c r="E241" s="4">
        <v>8</v>
      </c>
      <c r="F241" s="4">
        <v>10</v>
      </c>
      <c r="I241" s="4">
        <v>5</v>
      </c>
      <c r="J241" s="4">
        <v>5</v>
      </c>
      <c r="K241" s="4">
        <v>10</v>
      </c>
      <c r="L241" s="4">
        <v>9</v>
      </c>
      <c r="M241" s="4">
        <v>5</v>
      </c>
      <c r="N241" s="4">
        <v>5</v>
      </c>
      <c r="O241" s="4">
        <v>5</v>
      </c>
      <c r="P241" s="4">
        <v>5</v>
      </c>
      <c r="W241" s="4">
        <v>5</v>
      </c>
      <c r="X241" s="4">
        <v>5</v>
      </c>
      <c r="AA241" s="4">
        <v>5</v>
      </c>
      <c r="AB241" s="4">
        <v>5</v>
      </c>
      <c r="AY241" s="3" t="s">
        <v>17</v>
      </c>
      <c r="BB241" s="3" t="s">
        <v>17</v>
      </c>
      <c r="BC241" s="3" t="s">
        <v>17</v>
      </c>
      <c r="BD241" s="3" t="str">
        <f>IF(AY241="Sí", "Alto", IF(AY241="Tal vez", "Moderado", IF(AY241="No", "Bajo", "")))</f>
        <v>Bajo</v>
      </c>
      <c r="BE241" s="3" t="str">
        <f>IF(AZ241="Sí", "Aumentó", IF(AY241="Tal vez", "Se mantuvo igual", IF(AY241="No", "Se mantuvo igual", "")))</f>
        <v>Se mantuvo igual</v>
      </c>
      <c r="BF241" s="3" t="s">
        <v>555</v>
      </c>
      <c r="BG241" s="3" t="s">
        <v>31</v>
      </c>
    </row>
    <row r="242" spans="1:59" x14ac:dyDescent="0.3">
      <c r="A242" s="3" t="s">
        <v>1139</v>
      </c>
      <c r="B242" s="3" t="s">
        <v>26</v>
      </c>
      <c r="C242" s="3">
        <v>16</v>
      </c>
      <c r="D242" s="3">
        <v>10</v>
      </c>
      <c r="E242" s="4">
        <v>10</v>
      </c>
      <c r="F242" s="4">
        <v>9</v>
      </c>
      <c r="I242" s="4">
        <v>5</v>
      </c>
      <c r="J242" s="4">
        <v>5</v>
      </c>
      <c r="K242" s="4">
        <v>10</v>
      </c>
      <c r="L242" s="4">
        <v>9</v>
      </c>
      <c r="M242" s="4">
        <v>5</v>
      </c>
      <c r="N242" s="4">
        <v>5</v>
      </c>
      <c r="O242" s="4">
        <v>5</v>
      </c>
      <c r="P242" s="4">
        <v>5</v>
      </c>
      <c r="W242" s="4">
        <v>5</v>
      </c>
      <c r="X242" s="4">
        <v>5</v>
      </c>
      <c r="AA242" s="4">
        <v>5</v>
      </c>
      <c r="AB242" s="4">
        <v>5</v>
      </c>
      <c r="AY242" s="3" t="s">
        <v>17</v>
      </c>
      <c r="BB242" s="3" t="s">
        <v>17</v>
      </c>
      <c r="BC242" s="3" t="s">
        <v>556</v>
      </c>
      <c r="BD242" s="3" t="str">
        <f>IF(AY242="Sí", "Alto", IF(AY242="Tal vez", "Moderado", IF(AY242="No", "Bajo", "")))</f>
        <v>Bajo</v>
      </c>
      <c r="BE242" s="3" t="str">
        <f>IF(AZ242="Sí", "Aumentó", IF(AY242="Tal vez", "Se mantuvo igual", IF(AY242="No", "Se mantuvo igual", "")))</f>
        <v>Se mantuvo igual</v>
      </c>
      <c r="BF242" s="3" t="s">
        <v>557</v>
      </c>
      <c r="BG242" s="3" t="s">
        <v>558</v>
      </c>
    </row>
    <row r="243" spans="1:59" x14ac:dyDescent="0.3">
      <c r="A243" s="3" t="s">
        <v>1139</v>
      </c>
      <c r="B243" s="3" t="s">
        <v>26</v>
      </c>
      <c r="C243" s="3">
        <v>17</v>
      </c>
      <c r="D243" s="3">
        <v>10</v>
      </c>
      <c r="E243" s="4">
        <v>10</v>
      </c>
      <c r="F243" s="4">
        <v>10</v>
      </c>
      <c r="I243" s="4">
        <v>5</v>
      </c>
      <c r="J243" s="4">
        <v>5</v>
      </c>
      <c r="K243" s="4">
        <v>10</v>
      </c>
      <c r="L243" s="4">
        <v>10</v>
      </c>
      <c r="M243" s="4">
        <v>5</v>
      </c>
      <c r="N243" s="4">
        <v>5</v>
      </c>
      <c r="O243" s="4">
        <v>5</v>
      </c>
      <c r="P243" s="4">
        <v>5</v>
      </c>
      <c r="W243" s="4">
        <v>5</v>
      </c>
      <c r="X243" s="4">
        <v>5</v>
      </c>
      <c r="AA243" s="4">
        <v>5</v>
      </c>
      <c r="AB243" s="4">
        <v>5</v>
      </c>
      <c r="AY243" s="3" t="s">
        <v>17</v>
      </c>
      <c r="BB243" s="3" t="s">
        <v>18</v>
      </c>
      <c r="BC243" s="3" t="s">
        <v>556</v>
      </c>
      <c r="BD243" s="3" t="str">
        <f>IF(AY243="Sí", "Alto", IF(AY243="Tal vez", "Moderado", IF(AY243="No", "Bajo", "")))</f>
        <v>Bajo</v>
      </c>
      <c r="BE243" s="3" t="str">
        <f>IF(AZ243="Sí", "Aumentó", IF(AY243="Tal vez", "Se mantuvo igual", IF(AY243="No", "Se mantuvo igual", "")))</f>
        <v>Se mantuvo igual</v>
      </c>
      <c r="BF243" s="3" t="s">
        <v>559</v>
      </c>
      <c r="BG243" s="3" t="s">
        <v>560</v>
      </c>
    </row>
    <row r="244" spans="1:59" x14ac:dyDescent="0.3">
      <c r="A244" s="3" t="s">
        <v>1139</v>
      </c>
      <c r="B244" s="3" t="s">
        <v>16</v>
      </c>
      <c r="C244" s="3">
        <v>17</v>
      </c>
      <c r="D244" s="3">
        <v>9</v>
      </c>
      <c r="E244" s="4">
        <v>7</v>
      </c>
      <c r="F244" s="4">
        <v>10</v>
      </c>
      <c r="I244" s="4">
        <v>5</v>
      </c>
      <c r="J244" s="4">
        <v>5</v>
      </c>
      <c r="K244" s="4">
        <v>10</v>
      </c>
      <c r="L244" s="4">
        <v>10</v>
      </c>
      <c r="M244" s="4">
        <v>5</v>
      </c>
      <c r="N244" s="4">
        <v>5</v>
      </c>
      <c r="O244" s="4">
        <v>5</v>
      </c>
      <c r="P244" s="4">
        <v>5</v>
      </c>
      <c r="W244" s="4">
        <v>5</v>
      </c>
      <c r="X244" s="4">
        <v>5</v>
      </c>
      <c r="AA244" s="4">
        <v>5</v>
      </c>
      <c r="AB244" s="4">
        <v>5</v>
      </c>
      <c r="AY244" s="3" t="s">
        <v>17</v>
      </c>
      <c r="BB244" s="3" t="s">
        <v>18</v>
      </c>
      <c r="BC244" s="3" t="s">
        <v>556</v>
      </c>
      <c r="BD244" s="3" t="str">
        <f>IF(AY244="Sí", "Alto", IF(AY244="Tal vez", "Moderado", IF(AY244="No", "Bajo", "")))</f>
        <v>Bajo</v>
      </c>
      <c r="BE244" s="3" t="str">
        <f>IF(AZ244="Sí", "Aumentó", IF(AY244="Tal vez", "Se mantuvo igual", IF(AY244="No", "Se mantuvo igual", "")))</f>
        <v>Se mantuvo igual</v>
      </c>
      <c r="BF244" s="3" t="s">
        <v>561</v>
      </c>
      <c r="BG244" s="3" t="s">
        <v>562</v>
      </c>
    </row>
    <row r="245" spans="1:59" x14ac:dyDescent="0.3">
      <c r="A245" s="3" t="s">
        <v>1139</v>
      </c>
      <c r="B245" s="3" t="s">
        <v>26</v>
      </c>
      <c r="C245" s="3">
        <v>17</v>
      </c>
      <c r="D245" s="3">
        <v>10</v>
      </c>
      <c r="E245" s="4">
        <v>9</v>
      </c>
      <c r="F245" s="4">
        <v>10</v>
      </c>
      <c r="I245" s="4">
        <v>5</v>
      </c>
      <c r="J245" s="4">
        <v>5</v>
      </c>
      <c r="K245" s="4">
        <v>10</v>
      </c>
      <c r="L245" s="4">
        <v>10</v>
      </c>
      <c r="M245" s="4">
        <v>5</v>
      </c>
      <c r="N245" s="4">
        <v>5</v>
      </c>
      <c r="O245" s="4">
        <v>5</v>
      </c>
      <c r="P245" s="4">
        <v>5</v>
      </c>
      <c r="W245" s="4">
        <v>5</v>
      </c>
      <c r="X245" s="4">
        <v>5</v>
      </c>
      <c r="AA245" s="4">
        <v>9</v>
      </c>
      <c r="AB245" s="4">
        <v>9</v>
      </c>
      <c r="AY245" s="3" t="s">
        <v>18</v>
      </c>
      <c r="AZ245" s="3" t="s">
        <v>18</v>
      </c>
      <c r="BD245" s="3" t="str">
        <f>IF(AY245="Sí", "Alto", IF(AY245="Tal vez", "Moderado", IF(AY245="No", "Bajo", "")))</f>
        <v>Moderado</v>
      </c>
      <c r="BE245" s="3" t="str">
        <f>IF(AZ245="Sí", "Aumentó", IF(AY245="Tal vez", "Se mantuvo igual", IF(AY245="No", "Se mantuvo igual", "")))</f>
        <v>Se mantuvo igual</v>
      </c>
      <c r="BF245" s="3" t="s">
        <v>563</v>
      </c>
      <c r="BG245" s="3" t="s">
        <v>564</v>
      </c>
    </row>
    <row r="246" spans="1:59" x14ac:dyDescent="0.3">
      <c r="A246" s="3" t="s">
        <v>1139</v>
      </c>
      <c r="B246" s="3" t="s">
        <v>26</v>
      </c>
      <c r="C246" s="3">
        <v>16</v>
      </c>
      <c r="D246" s="3">
        <v>10</v>
      </c>
      <c r="E246" s="4">
        <v>7</v>
      </c>
      <c r="F246" s="4">
        <v>9</v>
      </c>
      <c r="I246" s="4">
        <v>5</v>
      </c>
      <c r="J246" s="4">
        <v>5</v>
      </c>
      <c r="K246" s="4">
        <v>10</v>
      </c>
      <c r="L246" s="4">
        <v>10</v>
      </c>
      <c r="M246" s="4">
        <v>5</v>
      </c>
      <c r="N246" s="4">
        <v>5</v>
      </c>
      <c r="O246" s="4">
        <v>5</v>
      </c>
      <c r="P246" s="4">
        <v>5</v>
      </c>
      <c r="W246" s="4">
        <v>5</v>
      </c>
      <c r="X246" s="4">
        <v>5</v>
      </c>
      <c r="AA246" s="4">
        <v>5</v>
      </c>
      <c r="AB246" s="4">
        <v>5</v>
      </c>
      <c r="AY246" s="3" t="s">
        <v>18</v>
      </c>
      <c r="AZ246" s="3" t="s">
        <v>22</v>
      </c>
      <c r="BA246" s="3" t="s">
        <v>565</v>
      </c>
      <c r="BD246" s="3" t="str">
        <f>IF(AY246="Sí", "Alto", IF(AY246="Tal vez", "Moderado", IF(AY246="No", "Bajo", "")))</f>
        <v>Moderado</v>
      </c>
      <c r="BE246" s="3" t="str">
        <f>IF(AZ246="Sí", "Aumentó", IF(AY246="Tal vez", "Se mantuvo igual", IF(AY246="No", "Se mantuvo igual", "")))</f>
        <v>Aumentó</v>
      </c>
      <c r="BF246" s="3" t="s">
        <v>147</v>
      </c>
      <c r="BG246" s="3" t="s">
        <v>566</v>
      </c>
    </row>
    <row r="247" spans="1:59" x14ac:dyDescent="0.3">
      <c r="A247" s="3" t="s">
        <v>1139</v>
      </c>
      <c r="B247" s="3" t="s">
        <v>26</v>
      </c>
      <c r="C247" s="3">
        <v>16</v>
      </c>
      <c r="D247" s="3">
        <v>9</v>
      </c>
      <c r="E247" s="4">
        <v>10</v>
      </c>
      <c r="F247" s="4">
        <v>10</v>
      </c>
      <c r="I247" s="4">
        <v>5</v>
      </c>
      <c r="J247" s="4">
        <v>5</v>
      </c>
      <c r="K247" s="4">
        <v>10</v>
      </c>
      <c r="L247" s="4">
        <v>10</v>
      </c>
      <c r="M247" s="4">
        <v>5</v>
      </c>
      <c r="N247" s="4">
        <v>5</v>
      </c>
      <c r="O247" s="4">
        <v>5</v>
      </c>
      <c r="P247" s="4">
        <v>5</v>
      </c>
      <c r="W247" s="4">
        <v>5</v>
      </c>
      <c r="X247" s="4">
        <v>5</v>
      </c>
      <c r="AA247" s="4">
        <v>5</v>
      </c>
      <c r="AB247" s="4">
        <v>5</v>
      </c>
      <c r="AY247" s="3" t="s">
        <v>17</v>
      </c>
      <c r="BB247" s="3" t="s">
        <v>18</v>
      </c>
      <c r="BC247" s="3" t="s">
        <v>556</v>
      </c>
      <c r="BD247" s="3" t="str">
        <f>IF(AY247="Sí", "Alto", IF(AY247="Tal vez", "Moderado", IF(AY247="No", "Bajo", "")))</f>
        <v>Bajo</v>
      </c>
      <c r="BE247" s="3" t="str">
        <f>IF(AZ247="Sí", "Aumentó", IF(AY247="Tal vez", "Se mantuvo igual", IF(AY247="No", "Se mantuvo igual", "")))</f>
        <v>Se mantuvo igual</v>
      </c>
      <c r="BF247" s="3" t="s">
        <v>140</v>
      </c>
      <c r="BG247" s="3" t="s">
        <v>567</v>
      </c>
    </row>
    <row r="248" spans="1:59" x14ac:dyDescent="0.3">
      <c r="A248" s="3" t="s">
        <v>1139</v>
      </c>
      <c r="B248" s="3" t="s">
        <v>26</v>
      </c>
      <c r="C248" s="3">
        <v>17</v>
      </c>
      <c r="D248" s="3">
        <v>10</v>
      </c>
      <c r="E248" s="4">
        <v>10</v>
      </c>
      <c r="F248" s="4">
        <v>10</v>
      </c>
      <c r="K248" s="4">
        <v>10</v>
      </c>
      <c r="L248" s="4">
        <v>10</v>
      </c>
      <c r="M248" s="4">
        <v>10</v>
      </c>
      <c r="N248" s="4">
        <v>10</v>
      </c>
      <c r="O248" s="4">
        <v>10</v>
      </c>
      <c r="P248" s="4">
        <v>10</v>
      </c>
      <c r="AG248" s="4">
        <v>10</v>
      </c>
      <c r="AH248" s="4">
        <v>10</v>
      </c>
      <c r="AY248" s="3" t="s">
        <v>17</v>
      </c>
      <c r="BB248" s="3" t="s">
        <v>18</v>
      </c>
      <c r="BC248" s="3" t="s">
        <v>556</v>
      </c>
      <c r="BD248" s="3" t="str">
        <f>IF(AY248="Sí", "Alto", IF(AY248="Tal vez", "Moderado", IF(AY248="No", "Bajo", "")))</f>
        <v>Bajo</v>
      </c>
      <c r="BE248" s="3" t="str">
        <f>IF(AZ248="Sí", "Aumentó", IF(AY248="Tal vez", "Se mantuvo igual", IF(AY248="No", "Se mantuvo igual", "")))</f>
        <v>Se mantuvo igual</v>
      </c>
      <c r="BF248" s="3" t="s">
        <v>568</v>
      </c>
      <c r="BG248" s="3" t="s">
        <v>569</v>
      </c>
    </row>
    <row r="249" spans="1:59" x14ac:dyDescent="0.3">
      <c r="A249" s="3" t="s">
        <v>1139</v>
      </c>
      <c r="B249" s="3" t="s">
        <v>26</v>
      </c>
      <c r="C249" s="3">
        <v>17</v>
      </c>
      <c r="D249" s="3">
        <v>10</v>
      </c>
      <c r="E249" s="4">
        <v>8</v>
      </c>
      <c r="F249" s="4">
        <v>9</v>
      </c>
      <c r="K249" s="4">
        <v>9</v>
      </c>
      <c r="L249" s="4">
        <v>9</v>
      </c>
      <c r="M249" s="4">
        <v>8</v>
      </c>
      <c r="N249" s="4">
        <v>8</v>
      </c>
      <c r="O249" s="4">
        <v>8</v>
      </c>
      <c r="P249" s="4">
        <v>8</v>
      </c>
      <c r="AG249" s="4">
        <v>9</v>
      </c>
      <c r="AH249" s="4">
        <v>10</v>
      </c>
      <c r="AY249" s="3" t="s">
        <v>17</v>
      </c>
      <c r="BB249" s="3" t="s">
        <v>17</v>
      </c>
      <c r="BC249" s="3" t="s">
        <v>556</v>
      </c>
      <c r="BD249" s="3" t="str">
        <f>IF(AY249="Sí", "Alto", IF(AY249="Tal vez", "Moderado", IF(AY249="No", "Bajo", "")))</f>
        <v>Bajo</v>
      </c>
      <c r="BE249" s="3" t="str">
        <f>IF(AZ249="Sí", "Aumentó", IF(AY249="Tal vez", "Se mantuvo igual", IF(AY249="No", "Se mantuvo igual", "")))</f>
        <v>Se mantuvo igual</v>
      </c>
      <c r="BF249" s="3" t="s">
        <v>570</v>
      </c>
      <c r="BG249" s="3" t="s">
        <v>571</v>
      </c>
    </row>
    <row r="250" spans="1:59" x14ac:dyDescent="0.3">
      <c r="A250" s="3" t="s">
        <v>1139</v>
      </c>
      <c r="B250" s="3" t="s">
        <v>16</v>
      </c>
      <c r="C250" s="3">
        <v>17</v>
      </c>
      <c r="D250" s="3">
        <v>10</v>
      </c>
      <c r="E250" s="4">
        <v>10</v>
      </c>
      <c r="F250" s="4">
        <v>9</v>
      </c>
      <c r="K250" s="4">
        <v>10</v>
      </c>
      <c r="L250" s="4">
        <v>9</v>
      </c>
      <c r="M250" s="4">
        <v>10</v>
      </c>
      <c r="N250" s="4">
        <v>7</v>
      </c>
      <c r="O250" s="4">
        <v>8</v>
      </c>
      <c r="P250" s="4">
        <v>9</v>
      </c>
      <c r="AG250" s="4">
        <v>10</v>
      </c>
      <c r="AH250" s="4">
        <v>5</v>
      </c>
      <c r="AY250" s="3" t="s">
        <v>556</v>
      </c>
      <c r="AZ250" s="3" t="s">
        <v>17</v>
      </c>
      <c r="BD250" s="3" t="str">
        <f>IF(AY250="Sí", "Alto", IF(AY250="Tal vez", "Moderado", IF(AY250="No", "Bajo", "")))</f>
        <v>Alto</v>
      </c>
      <c r="BE250" s="3" t="s">
        <v>623</v>
      </c>
      <c r="BF250" s="3" t="s">
        <v>572</v>
      </c>
      <c r="BG250" s="3" t="s">
        <v>573</v>
      </c>
    </row>
    <row r="251" spans="1:59" x14ac:dyDescent="0.3">
      <c r="A251" s="3" t="s">
        <v>1139</v>
      </c>
      <c r="B251" s="3" t="s">
        <v>16</v>
      </c>
      <c r="C251" s="3">
        <v>16</v>
      </c>
      <c r="D251" s="3">
        <v>10</v>
      </c>
      <c r="E251" s="4">
        <v>10</v>
      </c>
      <c r="F251" s="4">
        <v>10</v>
      </c>
      <c r="K251" s="4">
        <v>10</v>
      </c>
      <c r="L251" s="4">
        <v>10</v>
      </c>
      <c r="M251" s="4">
        <v>8</v>
      </c>
      <c r="N251" s="4">
        <v>8</v>
      </c>
      <c r="O251" s="4">
        <v>5</v>
      </c>
      <c r="P251" s="4">
        <v>5</v>
      </c>
      <c r="AG251" s="4">
        <v>8</v>
      </c>
      <c r="AH251" s="4">
        <v>8</v>
      </c>
      <c r="AY251" s="3" t="s">
        <v>17</v>
      </c>
      <c r="BB251" s="3" t="s">
        <v>17</v>
      </c>
      <c r="BC251" s="3" t="s">
        <v>556</v>
      </c>
      <c r="BD251" s="3" t="str">
        <f>IF(AY251="Sí", "Alto", IF(AY251="Tal vez", "Moderado", IF(AY251="No", "Bajo", "")))</f>
        <v>Bajo</v>
      </c>
      <c r="BE251" s="3" t="str">
        <f>IF(AZ251="Sí", "Aumentó", IF(AY251="Tal vez", "Se mantuvo igual", IF(AY251="No", "Se mantuvo igual", "")))</f>
        <v>Se mantuvo igual</v>
      </c>
      <c r="BF251" s="3" t="s">
        <v>574</v>
      </c>
      <c r="BG251" s="3" t="s">
        <v>575</v>
      </c>
    </row>
    <row r="252" spans="1:59" x14ac:dyDescent="0.3">
      <c r="A252" s="3" t="s">
        <v>1139</v>
      </c>
      <c r="B252" s="3" t="s">
        <v>16</v>
      </c>
      <c r="C252" s="3">
        <v>16</v>
      </c>
      <c r="D252" s="3">
        <v>10</v>
      </c>
      <c r="E252" s="4">
        <v>10</v>
      </c>
      <c r="F252" s="4">
        <v>10</v>
      </c>
      <c r="K252" s="4">
        <v>7</v>
      </c>
      <c r="L252" s="4">
        <v>8</v>
      </c>
      <c r="M252" s="4">
        <v>10</v>
      </c>
      <c r="N252" s="4">
        <v>10</v>
      </c>
      <c r="O252" s="4">
        <v>5</v>
      </c>
      <c r="P252" s="4">
        <v>1</v>
      </c>
      <c r="AG252" s="4">
        <v>10</v>
      </c>
      <c r="AH252" s="4">
        <v>10</v>
      </c>
      <c r="AY252" s="3" t="s">
        <v>17</v>
      </c>
      <c r="BB252" s="3" t="s">
        <v>17</v>
      </c>
      <c r="BC252" s="3" t="s">
        <v>556</v>
      </c>
      <c r="BD252" s="3" t="str">
        <f>IF(AY252="Sí", "Alto", IF(AY252="Tal vez", "Moderado", IF(AY252="No", "Bajo", "")))</f>
        <v>Bajo</v>
      </c>
      <c r="BE252" s="3" t="str">
        <f>IF(AZ252="Sí", "Aumentó", IF(AY252="Tal vez", "Se mantuvo igual", IF(AY252="No", "Se mantuvo igual", "")))</f>
        <v>Se mantuvo igual</v>
      </c>
      <c r="BF252" s="3" t="s">
        <v>576</v>
      </c>
      <c r="BG252" s="3" t="s">
        <v>577</v>
      </c>
    </row>
    <row r="253" spans="1:59" x14ac:dyDescent="0.3">
      <c r="A253" s="3" t="s">
        <v>1139</v>
      </c>
      <c r="B253" s="3" t="s">
        <v>26</v>
      </c>
      <c r="C253" s="3">
        <v>16</v>
      </c>
      <c r="D253" s="3">
        <v>10</v>
      </c>
      <c r="E253" s="4">
        <v>9</v>
      </c>
      <c r="F253" s="4">
        <v>9</v>
      </c>
      <c r="K253" s="4">
        <v>10</v>
      </c>
      <c r="L253" s="4">
        <v>10</v>
      </c>
      <c r="M253" s="4">
        <v>6</v>
      </c>
      <c r="N253" s="4">
        <v>1</v>
      </c>
      <c r="O253" s="4">
        <v>6</v>
      </c>
      <c r="P253" s="4">
        <v>2</v>
      </c>
      <c r="AG253" s="4">
        <v>8</v>
      </c>
      <c r="AH253" s="4">
        <v>7</v>
      </c>
      <c r="AY253" s="3" t="s">
        <v>18</v>
      </c>
      <c r="AZ253" s="3" t="s">
        <v>18</v>
      </c>
      <c r="BD253" s="3" t="str">
        <f>IF(AY253="Sí", "Alto", IF(AY253="Tal vez", "Moderado", IF(AY253="No", "Bajo", "")))</f>
        <v>Moderado</v>
      </c>
      <c r="BE253" s="3" t="str">
        <f>IF(AZ253="Sí", "Aumentó", IF(AY253="Tal vez", "Se mantuvo igual", IF(AY253="No", "Se mantuvo igual", "")))</f>
        <v>Se mantuvo igual</v>
      </c>
      <c r="BF253" s="3" t="s">
        <v>578</v>
      </c>
      <c r="BG253" s="3" t="s">
        <v>579</v>
      </c>
    </row>
    <row r="254" spans="1:59" x14ac:dyDescent="0.3">
      <c r="A254" s="3" t="s">
        <v>1139</v>
      </c>
      <c r="B254" s="3" t="s">
        <v>26</v>
      </c>
      <c r="C254" s="3">
        <v>16</v>
      </c>
      <c r="D254" s="3">
        <v>10</v>
      </c>
      <c r="E254" s="4">
        <v>10</v>
      </c>
      <c r="F254" s="4">
        <v>10</v>
      </c>
      <c r="K254" s="4">
        <v>5</v>
      </c>
      <c r="L254" s="4">
        <v>9</v>
      </c>
      <c r="M254" s="4">
        <v>10</v>
      </c>
      <c r="N254" s="4">
        <v>8</v>
      </c>
      <c r="O254" s="4">
        <v>10</v>
      </c>
      <c r="P254" s="4">
        <v>10</v>
      </c>
      <c r="AG254" s="4">
        <v>9</v>
      </c>
      <c r="AH254" s="4">
        <v>10</v>
      </c>
      <c r="AY254" s="3" t="s">
        <v>18</v>
      </c>
      <c r="AZ254" s="3" t="s">
        <v>18</v>
      </c>
      <c r="BA254" s="3" t="s">
        <v>580</v>
      </c>
      <c r="BD254" s="3" t="str">
        <f>IF(AY254="Sí", "Alto", IF(AY254="Tal vez", "Moderado", IF(AY254="No", "Bajo", "")))</f>
        <v>Moderado</v>
      </c>
      <c r="BE254" s="3" t="str">
        <f>IF(AZ254="Sí", "Aumentó", IF(AY254="Tal vez", "Se mantuvo igual", IF(AY254="No", "Se mantuvo igual", "")))</f>
        <v>Se mantuvo igual</v>
      </c>
      <c r="BF254" s="3" t="s">
        <v>581</v>
      </c>
      <c r="BG254" s="3" t="s">
        <v>582</v>
      </c>
    </row>
    <row r="255" spans="1:59" x14ac:dyDescent="0.3">
      <c r="A255" s="3" t="s">
        <v>1139</v>
      </c>
      <c r="B255" s="3" t="s">
        <v>26</v>
      </c>
      <c r="C255" s="3">
        <v>16</v>
      </c>
      <c r="D255" s="3">
        <v>10</v>
      </c>
      <c r="E255" s="4">
        <v>8</v>
      </c>
      <c r="F255" s="4">
        <v>10</v>
      </c>
      <c r="K255" s="4">
        <v>7</v>
      </c>
      <c r="L255" s="4">
        <v>8</v>
      </c>
      <c r="M255" s="4">
        <v>8</v>
      </c>
      <c r="N255" s="4">
        <v>8</v>
      </c>
      <c r="O255" s="4">
        <v>7</v>
      </c>
      <c r="P255" s="4">
        <v>7</v>
      </c>
      <c r="AG255" s="4">
        <v>9</v>
      </c>
      <c r="AH255" s="4">
        <v>8</v>
      </c>
      <c r="AY255" s="3" t="s">
        <v>17</v>
      </c>
      <c r="BB255" s="3" t="s">
        <v>17</v>
      </c>
      <c r="BC255" s="3" t="s">
        <v>556</v>
      </c>
      <c r="BD255" s="3" t="str">
        <f>IF(AY255="Sí", "Alto", IF(AY255="Tal vez", "Moderado", IF(AY255="No", "Bajo", "")))</f>
        <v>Bajo</v>
      </c>
      <c r="BE255" s="3" t="str">
        <f>IF(AZ255="Sí", "Aumentó", IF(AY255="Tal vez", "Se mantuvo igual", IF(AY255="No", "Se mantuvo igual", "")))</f>
        <v>Se mantuvo igual</v>
      </c>
      <c r="BF255" s="3" t="s">
        <v>583</v>
      </c>
      <c r="BG255" s="3" t="s">
        <v>584</v>
      </c>
    </row>
    <row r="256" spans="1:59" x14ac:dyDescent="0.3">
      <c r="A256" s="3" t="s">
        <v>1139</v>
      </c>
      <c r="B256" s="3" t="s">
        <v>16</v>
      </c>
      <c r="C256" s="3">
        <v>16</v>
      </c>
      <c r="D256" s="3">
        <v>10</v>
      </c>
      <c r="E256" s="4">
        <v>9</v>
      </c>
      <c r="F256" s="4">
        <v>9</v>
      </c>
      <c r="K256" s="4">
        <v>10</v>
      </c>
      <c r="L256" s="4">
        <v>10</v>
      </c>
      <c r="M256" s="4">
        <v>7</v>
      </c>
      <c r="N256" s="4">
        <v>8</v>
      </c>
      <c r="O256" s="4">
        <v>8</v>
      </c>
      <c r="P256" s="4">
        <v>9</v>
      </c>
      <c r="AG256" s="4">
        <v>9</v>
      </c>
      <c r="AH256" s="4">
        <v>7</v>
      </c>
      <c r="AY256" s="3" t="s">
        <v>18</v>
      </c>
      <c r="AZ256" s="3" t="s">
        <v>22</v>
      </c>
      <c r="BA256" s="3" t="s">
        <v>585</v>
      </c>
      <c r="BD256" s="3" t="str">
        <f>IF(AY256="Sí", "Alto", IF(AY256="Tal vez", "Moderado", IF(AY256="No", "Bajo", "")))</f>
        <v>Moderado</v>
      </c>
      <c r="BE256" s="3" t="str">
        <f>IF(AZ256="Sí", "Aumentó", IF(AY256="Tal vez", "Se mantuvo igual", IF(AY256="No", "Se mantuvo igual", "")))</f>
        <v>Aumentó</v>
      </c>
      <c r="BF256" s="3" t="s">
        <v>586</v>
      </c>
      <c r="BG256" s="3" t="s">
        <v>587</v>
      </c>
    </row>
    <row r="257" spans="1:60" x14ac:dyDescent="0.3">
      <c r="A257" s="3" t="s">
        <v>1139</v>
      </c>
      <c r="B257" s="3" t="s">
        <v>16</v>
      </c>
      <c r="C257" s="3">
        <v>16</v>
      </c>
      <c r="D257" s="3">
        <v>10</v>
      </c>
      <c r="E257" s="4">
        <v>6</v>
      </c>
      <c r="F257" s="4">
        <v>6</v>
      </c>
      <c r="K257" s="4">
        <v>6</v>
      </c>
      <c r="L257" s="4">
        <v>5</v>
      </c>
      <c r="M257" s="4">
        <v>6</v>
      </c>
      <c r="N257" s="4">
        <v>7</v>
      </c>
      <c r="O257" s="4">
        <v>6</v>
      </c>
      <c r="P257" s="4">
        <v>5</v>
      </c>
      <c r="AG257" s="4">
        <v>7</v>
      </c>
      <c r="AH257" s="4">
        <v>8</v>
      </c>
      <c r="AY257" s="3" t="s">
        <v>18</v>
      </c>
      <c r="AZ257" s="3" t="s">
        <v>18</v>
      </c>
      <c r="BA257" s="3" t="s">
        <v>588</v>
      </c>
      <c r="BD257" s="3" t="str">
        <f>IF(AY257="Sí", "Alto", IF(AY257="Tal vez", "Moderado", IF(AY257="No", "Bajo", "")))</f>
        <v>Moderado</v>
      </c>
      <c r="BE257" s="3" t="str">
        <f>IF(AZ257="Sí", "Aumentó", IF(AY257="Tal vez", "Se mantuvo igual", IF(AY257="No", "Se mantuvo igual", "")))</f>
        <v>Se mantuvo igual</v>
      </c>
      <c r="BF257" s="3" t="s">
        <v>589</v>
      </c>
      <c r="BG257" s="3" t="s">
        <v>590</v>
      </c>
    </row>
    <row r="258" spans="1:60" x14ac:dyDescent="0.3">
      <c r="A258" s="3" t="s">
        <v>1139</v>
      </c>
      <c r="B258" s="3" t="s">
        <v>26</v>
      </c>
      <c r="C258" s="3">
        <v>16</v>
      </c>
      <c r="D258" s="3">
        <v>9</v>
      </c>
      <c r="E258" s="4">
        <v>10</v>
      </c>
      <c r="F258" s="4">
        <v>10</v>
      </c>
      <c r="K258" s="4">
        <v>8</v>
      </c>
      <c r="L258" s="4">
        <v>9</v>
      </c>
      <c r="M258" s="4">
        <v>10</v>
      </c>
      <c r="N258" s="4">
        <v>9</v>
      </c>
      <c r="O258" s="4">
        <v>8</v>
      </c>
      <c r="P258" s="4">
        <v>7</v>
      </c>
      <c r="AG258" s="4">
        <v>10</v>
      </c>
      <c r="AH258" s="4">
        <v>10</v>
      </c>
      <c r="AY258" s="3" t="s">
        <v>18</v>
      </c>
      <c r="AZ258" s="3" t="s">
        <v>18</v>
      </c>
      <c r="BA258" s="3" t="s">
        <v>591</v>
      </c>
      <c r="BD258" s="3" t="str">
        <f>IF(AY258="Sí", "Alto", IF(AY258="Tal vez", "Moderado", IF(AY258="No", "Bajo", "")))</f>
        <v>Moderado</v>
      </c>
      <c r="BE258" s="3" t="str">
        <f>IF(AZ258="Sí", "Aumentó", IF(AY258="Tal vez", "Se mantuvo igual", IF(AY258="No", "Se mantuvo igual", "")))</f>
        <v>Se mantuvo igual</v>
      </c>
      <c r="BF258" s="3" t="s">
        <v>592</v>
      </c>
      <c r="BG258" s="3" t="s">
        <v>28</v>
      </c>
    </row>
    <row r="259" spans="1:60" x14ac:dyDescent="0.3">
      <c r="A259" s="3" t="s">
        <v>1139</v>
      </c>
      <c r="B259" s="3" t="s">
        <v>16</v>
      </c>
      <c r="C259" s="3">
        <v>16</v>
      </c>
      <c r="D259" s="3">
        <v>9</v>
      </c>
      <c r="E259" s="4">
        <v>9</v>
      </c>
      <c r="F259" s="4">
        <v>10</v>
      </c>
      <c r="K259" s="4">
        <v>10</v>
      </c>
      <c r="L259" s="4">
        <v>10</v>
      </c>
      <c r="M259" s="4">
        <v>8</v>
      </c>
      <c r="N259" s="4">
        <v>8</v>
      </c>
      <c r="O259" s="4">
        <v>8</v>
      </c>
      <c r="P259" s="4">
        <v>7</v>
      </c>
      <c r="AG259" s="4">
        <v>10</v>
      </c>
      <c r="AH259" s="4">
        <v>10</v>
      </c>
      <c r="AY259" s="3" t="s">
        <v>22</v>
      </c>
      <c r="AZ259" s="3" t="s">
        <v>18</v>
      </c>
      <c r="BA259" s="3" t="s">
        <v>593</v>
      </c>
      <c r="BD259" s="3" t="str">
        <f>IF(AY259="Sí", "Alto", IF(AY259="Tal vez", "Moderado", IF(AY259="No", "Bajo", "")))</f>
        <v>Alto</v>
      </c>
      <c r="BE259" s="3" t="s">
        <v>623</v>
      </c>
      <c r="BF259" s="3" t="s">
        <v>594</v>
      </c>
      <c r="BG259" s="3" t="s">
        <v>595</v>
      </c>
    </row>
    <row r="260" spans="1:60" s="5" customFormat="1" x14ac:dyDescent="0.3">
      <c r="A260" s="5" t="s">
        <v>1139</v>
      </c>
      <c r="B260" s="5" t="s">
        <v>26</v>
      </c>
      <c r="C260" s="5">
        <v>16</v>
      </c>
      <c r="D260" s="5">
        <v>10</v>
      </c>
      <c r="E260" s="5">
        <v>8</v>
      </c>
      <c r="F260" s="5">
        <v>8</v>
      </c>
      <c r="K260" s="5">
        <v>8</v>
      </c>
      <c r="L260" s="5">
        <v>8</v>
      </c>
      <c r="M260" s="5">
        <v>9</v>
      </c>
      <c r="N260" s="5">
        <v>9</v>
      </c>
      <c r="O260" s="5">
        <v>7</v>
      </c>
      <c r="P260" s="5">
        <v>8</v>
      </c>
      <c r="AG260" s="5">
        <v>8</v>
      </c>
      <c r="AH260" s="5">
        <v>9</v>
      </c>
      <c r="AY260" s="5" t="s">
        <v>18</v>
      </c>
      <c r="AZ260" s="5" t="s">
        <v>18</v>
      </c>
      <c r="BA260" s="5" t="s">
        <v>596</v>
      </c>
      <c r="BD260" s="3" t="str">
        <f>IF(AY260="Sí", "Alto", IF(AY260="Tal vez", "Moderado", IF(AY260="No", "Bajo", "")))</f>
        <v>Moderado</v>
      </c>
      <c r="BE260" s="3" t="str">
        <f>IF(AZ260="Sí", "Aumentó", IF(AY260="Tal vez", "Se mantuvo igual", IF(AY260="No", "Se mantuvo igual", "")))</f>
        <v>Se mantuvo igual</v>
      </c>
      <c r="BF260" s="5" t="s">
        <v>597</v>
      </c>
      <c r="BG260" s="5" t="s">
        <v>598</v>
      </c>
    </row>
    <row r="261" spans="1:60" x14ac:dyDescent="0.3">
      <c r="A261" s="3" t="s">
        <v>1141</v>
      </c>
      <c r="B261" s="3" t="s">
        <v>26</v>
      </c>
      <c r="C261" s="3">
        <v>10</v>
      </c>
      <c r="D261" s="3">
        <v>9</v>
      </c>
      <c r="E261" s="4">
        <v>10</v>
      </c>
      <c r="F261" s="4">
        <v>8</v>
      </c>
      <c r="K261" s="4">
        <v>10</v>
      </c>
      <c r="L261" s="4">
        <v>8</v>
      </c>
      <c r="M261" s="4">
        <v>10</v>
      </c>
      <c r="N261" s="4">
        <v>8</v>
      </c>
      <c r="O261" s="4">
        <v>10</v>
      </c>
      <c r="P261" s="4">
        <v>7</v>
      </c>
      <c r="AG261" s="4">
        <v>10</v>
      </c>
      <c r="AH261" s="4">
        <v>8</v>
      </c>
      <c r="AU261" s="4">
        <v>6</v>
      </c>
      <c r="AV261" s="4">
        <v>6</v>
      </c>
      <c r="AY261" s="3" t="s">
        <v>17</v>
      </c>
      <c r="BB261" s="3" t="s">
        <v>17</v>
      </c>
      <c r="BC261" s="3" t="s">
        <v>17</v>
      </c>
      <c r="BD261" s="3" t="s">
        <v>615</v>
      </c>
      <c r="BE261" s="3" t="s">
        <v>616</v>
      </c>
      <c r="BF261" s="3" t="s">
        <v>74</v>
      </c>
      <c r="BG261" s="3" t="s">
        <v>358</v>
      </c>
      <c r="BH261" s="3" t="s">
        <v>617</v>
      </c>
    </row>
    <row r="262" spans="1:60" x14ac:dyDescent="0.3">
      <c r="A262" s="3" t="s">
        <v>1141</v>
      </c>
      <c r="B262" s="3" t="s">
        <v>26</v>
      </c>
      <c r="C262" s="3">
        <v>11</v>
      </c>
      <c r="D262" s="3">
        <v>5</v>
      </c>
      <c r="E262" s="4">
        <v>10</v>
      </c>
      <c r="F262" s="4">
        <v>10</v>
      </c>
      <c r="K262" s="4">
        <v>10</v>
      </c>
      <c r="L262" s="4">
        <v>10</v>
      </c>
      <c r="M262" s="4">
        <v>10</v>
      </c>
      <c r="N262" s="4">
        <v>10</v>
      </c>
      <c r="O262" s="4">
        <v>10</v>
      </c>
      <c r="P262" s="4">
        <v>10</v>
      </c>
      <c r="AG262" s="4">
        <v>10</v>
      </c>
      <c r="AH262" s="4">
        <v>10</v>
      </c>
      <c r="AU262" s="4">
        <v>1</v>
      </c>
      <c r="AV262" s="4">
        <v>1</v>
      </c>
      <c r="AY262" s="3" t="s">
        <v>17</v>
      </c>
      <c r="BB262" s="3" t="s">
        <v>18</v>
      </c>
      <c r="BC262" s="3" t="s">
        <v>17</v>
      </c>
      <c r="BD262" s="3" t="s">
        <v>618</v>
      </c>
      <c r="BE262" s="3" t="s">
        <v>619</v>
      </c>
      <c r="BF262" s="3" t="s">
        <v>620</v>
      </c>
      <c r="BG262" s="3" t="s">
        <v>621</v>
      </c>
      <c r="BH262" s="3" t="s">
        <v>17</v>
      </c>
    </row>
    <row r="263" spans="1:60" x14ac:dyDescent="0.3">
      <c r="A263" s="3" t="s">
        <v>1141</v>
      </c>
      <c r="B263" s="3" t="s">
        <v>26</v>
      </c>
      <c r="C263" s="3">
        <v>11</v>
      </c>
      <c r="D263" s="3">
        <v>8</v>
      </c>
      <c r="E263" s="4">
        <v>10</v>
      </c>
      <c r="F263" s="4">
        <v>10</v>
      </c>
      <c r="K263" s="4">
        <v>10</v>
      </c>
      <c r="L263" s="4">
        <v>10</v>
      </c>
      <c r="M263" s="4">
        <v>10</v>
      </c>
      <c r="N263" s="4">
        <v>10</v>
      </c>
      <c r="O263" s="4">
        <v>10</v>
      </c>
      <c r="P263" s="4">
        <v>10</v>
      </c>
      <c r="AG263" s="4">
        <v>10</v>
      </c>
      <c r="AH263" s="4">
        <v>10</v>
      </c>
      <c r="AU263" s="4">
        <v>10</v>
      </c>
      <c r="AV263" s="4">
        <v>10</v>
      </c>
      <c r="AY263" s="3" t="s">
        <v>17</v>
      </c>
      <c r="BB263" s="3" t="s">
        <v>18</v>
      </c>
      <c r="BC263" s="3" t="s">
        <v>22</v>
      </c>
      <c r="BD263" s="3" t="s">
        <v>615</v>
      </c>
      <c r="BE263" s="3" t="s">
        <v>619</v>
      </c>
      <c r="BF263" s="3" t="s">
        <v>308</v>
      </c>
      <c r="BG263" s="3" t="s">
        <v>434</v>
      </c>
      <c r="BH263" s="3" t="s">
        <v>622</v>
      </c>
    </row>
    <row r="264" spans="1:60" x14ac:dyDescent="0.3">
      <c r="A264" s="3" t="s">
        <v>1141</v>
      </c>
      <c r="B264" s="3" t="s">
        <v>26</v>
      </c>
      <c r="C264" s="3">
        <v>10</v>
      </c>
      <c r="D264" s="3">
        <v>10</v>
      </c>
      <c r="E264" s="4">
        <v>9</v>
      </c>
      <c r="F264" s="4">
        <v>9</v>
      </c>
      <c r="K264" s="4">
        <v>9</v>
      </c>
      <c r="L264" s="4">
        <v>9</v>
      </c>
      <c r="M264" s="4">
        <v>9</v>
      </c>
      <c r="N264" s="4">
        <v>9</v>
      </c>
      <c r="O264" s="4">
        <v>9</v>
      </c>
      <c r="P264" s="4">
        <v>9</v>
      </c>
      <c r="AG264" s="4">
        <v>9</v>
      </c>
      <c r="AH264" s="4">
        <v>9</v>
      </c>
      <c r="AU264" s="4">
        <v>10</v>
      </c>
      <c r="AV264" s="4">
        <v>10</v>
      </c>
      <c r="AY264" s="3" t="s">
        <v>17</v>
      </c>
      <c r="BB264" s="3" t="s">
        <v>22</v>
      </c>
      <c r="BC264" s="3" t="s">
        <v>22</v>
      </c>
      <c r="BD264" s="3" t="s">
        <v>618</v>
      </c>
      <c r="BE264" s="3" t="s">
        <v>623</v>
      </c>
      <c r="BF264" s="3" t="s">
        <v>624</v>
      </c>
      <c r="BG264" s="3" t="s">
        <v>625</v>
      </c>
      <c r="BH264" s="3" t="s">
        <v>626</v>
      </c>
    </row>
    <row r="265" spans="1:60" x14ac:dyDescent="0.3">
      <c r="A265" s="3" t="s">
        <v>1141</v>
      </c>
      <c r="B265" s="3" t="s">
        <v>26</v>
      </c>
      <c r="C265" s="3">
        <v>10</v>
      </c>
      <c r="D265" s="3">
        <v>9</v>
      </c>
      <c r="E265" s="4">
        <v>10</v>
      </c>
      <c r="F265" s="4">
        <v>10</v>
      </c>
      <c r="K265" s="4">
        <v>8</v>
      </c>
      <c r="L265" s="4">
        <v>8</v>
      </c>
      <c r="M265" s="4">
        <v>8</v>
      </c>
      <c r="N265" s="4">
        <v>8</v>
      </c>
      <c r="O265" s="4">
        <v>8</v>
      </c>
      <c r="P265" s="4">
        <v>8</v>
      </c>
      <c r="AG265" s="4">
        <v>10</v>
      </c>
      <c r="AH265" s="4">
        <v>10</v>
      </c>
      <c r="AU265" s="4">
        <v>10</v>
      </c>
      <c r="AV265" s="4">
        <v>10</v>
      </c>
      <c r="AY265" s="3" t="s">
        <v>22</v>
      </c>
      <c r="AZ265" s="3" t="s">
        <v>17</v>
      </c>
      <c r="BA265" s="3" t="s">
        <v>17</v>
      </c>
      <c r="BD265" s="3" t="s">
        <v>618</v>
      </c>
      <c r="BE265" s="3" t="s">
        <v>619</v>
      </c>
      <c r="BF265" s="3" t="s">
        <v>627</v>
      </c>
      <c r="BG265" s="3" t="s">
        <v>358</v>
      </c>
      <c r="BH265" s="3" t="s">
        <v>628</v>
      </c>
    </row>
    <row r="266" spans="1:60" x14ac:dyDescent="0.3">
      <c r="A266" s="3" t="s">
        <v>1141</v>
      </c>
      <c r="B266" s="3" t="s">
        <v>16</v>
      </c>
      <c r="C266" s="3">
        <v>10</v>
      </c>
      <c r="D266" s="3">
        <v>10</v>
      </c>
      <c r="E266" s="4">
        <v>8</v>
      </c>
      <c r="F266" s="4">
        <v>10</v>
      </c>
      <c r="K266" s="4">
        <v>7</v>
      </c>
      <c r="L266" s="4">
        <v>9</v>
      </c>
      <c r="M266" s="4">
        <v>7</v>
      </c>
      <c r="N266" s="4">
        <v>8</v>
      </c>
      <c r="O266" s="4">
        <v>6</v>
      </c>
      <c r="P266" s="4">
        <v>6</v>
      </c>
      <c r="AG266" s="4">
        <v>9</v>
      </c>
      <c r="AH266" s="4">
        <v>8</v>
      </c>
      <c r="AU266" s="4">
        <v>10</v>
      </c>
      <c r="AV266" s="4">
        <v>10</v>
      </c>
      <c r="AY266" s="3" t="s">
        <v>18</v>
      </c>
      <c r="AZ266" s="3" t="s">
        <v>22</v>
      </c>
      <c r="BD266" s="3" t="s">
        <v>615</v>
      </c>
      <c r="BE266" s="3" t="s">
        <v>623</v>
      </c>
      <c r="BF266" s="3" t="s">
        <v>498</v>
      </c>
      <c r="BG266" s="3" t="s">
        <v>629</v>
      </c>
      <c r="BH266" s="3" t="s">
        <v>630</v>
      </c>
    </row>
    <row r="267" spans="1:60" x14ac:dyDescent="0.3">
      <c r="A267" s="3" t="s">
        <v>1141</v>
      </c>
      <c r="B267" s="3" t="s">
        <v>26</v>
      </c>
      <c r="C267" s="3">
        <v>10</v>
      </c>
      <c r="D267" s="3">
        <v>10</v>
      </c>
      <c r="E267" s="4">
        <v>7</v>
      </c>
      <c r="F267" s="4">
        <v>8</v>
      </c>
      <c r="K267" s="4">
        <v>10</v>
      </c>
      <c r="L267" s="4">
        <v>10</v>
      </c>
      <c r="M267" s="4">
        <v>7</v>
      </c>
      <c r="N267" s="4">
        <v>6</v>
      </c>
      <c r="O267" s="4">
        <v>8</v>
      </c>
      <c r="P267" s="4">
        <v>7</v>
      </c>
      <c r="AG267" s="4">
        <v>10</v>
      </c>
      <c r="AH267" s="4">
        <v>10</v>
      </c>
      <c r="AU267" s="4">
        <v>4</v>
      </c>
      <c r="AV267" s="4">
        <v>1</v>
      </c>
      <c r="AY267" s="3" t="s">
        <v>17</v>
      </c>
      <c r="BB267" s="3" t="s">
        <v>18</v>
      </c>
      <c r="BC267" s="3" t="s">
        <v>22</v>
      </c>
      <c r="BD267" s="3" t="s">
        <v>618</v>
      </c>
      <c r="BE267" s="3" t="s">
        <v>619</v>
      </c>
      <c r="BF267" s="3" t="s">
        <v>1143</v>
      </c>
      <c r="BG267" s="3" t="s">
        <v>631</v>
      </c>
      <c r="BH267" s="3" t="s">
        <v>632</v>
      </c>
    </row>
    <row r="268" spans="1:60" x14ac:dyDescent="0.3">
      <c r="A268" s="3" t="s">
        <v>1141</v>
      </c>
      <c r="B268" s="3" t="s">
        <v>26</v>
      </c>
      <c r="C268" s="3">
        <v>10</v>
      </c>
      <c r="D268" s="3">
        <v>7</v>
      </c>
      <c r="E268" s="4">
        <v>7</v>
      </c>
      <c r="F268" s="4">
        <v>9</v>
      </c>
      <c r="K268" s="4">
        <v>10</v>
      </c>
      <c r="L268" s="4">
        <v>10</v>
      </c>
      <c r="AE268" s="4">
        <v>10</v>
      </c>
      <c r="AF268" s="4">
        <v>7</v>
      </c>
      <c r="AU268" s="4">
        <v>3</v>
      </c>
      <c r="AV268" s="4">
        <v>3</v>
      </c>
      <c r="AY268" s="3" t="s">
        <v>18</v>
      </c>
      <c r="AZ268" s="3" t="s">
        <v>18</v>
      </c>
      <c r="BA268" s="3" t="s">
        <v>633</v>
      </c>
      <c r="BD268" s="3" t="s">
        <v>615</v>
      </c>
      <c r="BE268" s="3" t="s">
        <v>619</v>
      </c>
      <c r="BF268" s="3" t="s">
        <v>634</v>
      </c>
      <c r="BG268" s="3" t="s">
        <v>358</v>
      </c>
      <c r="BH268" s="3" t="s">
        <v>635</v>
      </c>
    </row>
    <row r="269" spans="1:60" x14ac:dyDescent="0.3">
      <c r="A269" s="3" t="s">
        <v>1141</v>
      </c>
      <c r="B269" s="3" t="s">
        <v>26</v>
      </c>
      <c r="C269" s="3">
        <v>10</v>
      </c>
      <c r="D269" s="3">
        <v>10</v>
      </c>
      <c r="E269" s="4">
        <v>5</v>
      </c>
      <c r="F269" s="4">
        <v>7</v>
      </c>
      <c r="K269" s="4">
        <v>10</v>
      </c>
      <c r="L269" s="4">
        <v>10</v>
      </c>
      <c r="AE269" s="4">
        <v>10</v>
      </c>
      <c r="AF269" s="4">
        <v>10</v>
      </c>
      <c r="AU269" s="4">
        <v>10</v>
      </c>
      <c r="AV269" s="4">
        <v>10</v>
      </c>
      <c r="AY269" s="3" t="s">
        <v>18</v>
      </c>
      <c r="AZ269" s="3" t="s">
        <v>22</v>
      </c>
      <c r="BD269" s="3" t="s">
        <v>618</v>
      </c>
      <c r="BE269" s="3" t="s">
        <v>619</v>
      </c>
      <c r="BF269" s="3" t="s">
        <v>98</v>
      </c>
      <c r="BG269" s="3" t="s">
        <v>262</v>
      </c>
      <c r="BH269" s="3" t="s">
        <v>636</v>
      </c>
    </row>
    <row r="270" spans="1:60" x14ac:dyDescent="0.3">
      <c r="A270" s="3" t="s">
        <v>1141</v>
      </c>
      <c r="B270" s="3" t="s">
        <v>26</v>
      </c>
      <c r="C270" s="3">
        <v>10</v>
      </c>
      <c r="D270" s="3">
        <v>9</v>
      </c>
      <c r="E270" s="4">
        <v>10</v>
      </c>
      <c r="F270" s="4">
        <v>9</v>
      </c>
      <c r="K270" s="4">
        <v>10</v>
      </c>
      <c r="L270" s="4">
        <v>10</v>
      </c>
      <c r="AE270" s="4">
        <v>8</v>
      </c>
      <c r="AF270" s="4">
        <v>10</v>
      </c>
      <c r="AU270" s="4">
        <v>9</v>
      </c>
      <c r="AV270" s="4">
        <v>10</v>
      </c>
      <c r="AY270" s="3" t="s">
        <v>18</v>
      </c>
      <c r="AZ270" s="3" t="s">
        <v>18</v>
      </c>
      <c r="BA270" s="3" t="s">
        <v>637</v>
      </c>
      <c r="BD270" s="3" t="s">
        <v>615</v>
      </c>
      <c r="BE270" s="3" t="s">
        <v>619</v>
      </c>
      <c r="BF270" s="3" t="s">
        <v>638</v>
      </c>
      <c r="BG270" s="3" t="s">
        <v>358</v>
      </c>
      <c r="BH270" s="3" t="s">
        <v>639</v>
      </c>
    </row>
    <row r="271" spans="1:60" x14ac:dyDescent="0.3">
      <c r="A271" s="3" t="s">
        <v>1141</v>
      </c>
      <c r="B271" s="3" t="s">
        <v>16</v>
      </c>
      <c r="C271" s="3">
        <v>10</v>
      </c>
      <c r="D271" s="3">
        <v>10</v>
      </c>
      <c r="E271" s="4">
        <v>10</v>
      </c>
      <c r="F271" s="4">
        <v>10</v>
      </c>
      <c r="K271" s="4">
        <v>7</v>
      </c>
      <c r="L271" s="4">
        <v>8</v>
      </c>
      <c r="AE271" s="4">
        <v>10</v>
      </c>
      <c r="AF271" s="4">
        <v>10</v>
      </c>
      <c r="AU271" s="4">
        <v>8</v>
      </c>
      <c r="AV271" s="4">
        <v>9</v>
      </c>
      <c r="AY271" s="3" t="s">
        <v>17</v>
      </c>
      <c r="BB271" s="3" t="s">
        <v>17</v>
      </c>
      <c r="BC271" s="3" t="s">
        <v>22</v>
      </c>
      <c r="BD271" s="3" t="s">
        <v>615</v>
      </c>
      <c r="BE271" s="3" t="s">
        <v>619</v>
      </c>
      <c r="BF271" s="3" t="s">
        <v>640</v>
      </c>
      <c r="BG271" s="3" t="s">
        <v>641</v>
      </c>
      <c r="BH271" s="3" t="s">
        <v>642</v>
      </c>
    </row>
    <row r="272" spans="1:60" x14ac:dyDescent="0.3">
      <c r="A272" s="3" t="s">
        <v>1141</v>
      </c>
      <c r="B272" s="3" t="s">
        <v>16</v>
      </c>
      <c r="C272" s="3">
        <v>10</v>
      </c>
      <c r="D272" s="3">
        <v>8</v>
      </c>
      <c r="E272" s="4">
        <v>9</v>
      </c>
      <c r="F272" s="4">
        <v>7</v>
      </c>
      <c r="K272" s="4">
        <v>7</v>
      </c>
      <c r="L272" s="4">
        <v>8</v>
      </c>
      <c r="AE272" s="4">
        <v>10</v>
      </c>
      <c r="AF272" s="4">
        <v>9</v>
      </c>
      <c r="AU272" s="4">
        <v>6</v>
      </c>
      <c r="AV272" s="4">
        <v>7</v>
      </c>
      <c r="AY272" s="3" t="s">
        <v>17</v>
      </c>
      <c r="BB272" s="3" t="s">
        <v>22</v>
      </c>
      <c r="BC272" s="3" t="s">
        <v>22</v>
      </c>
      <c r="BD272" s="3" t="s">
        <v>618</v>
      </c>
      <c r="BE272" s="3" t="s">
        <v>619</v>
      </c>
      <c r="BF272" s="3" t="s">
        <v>643</v>
      </c>
      <c r="BG272" s="3" t="s">
        <v>634</v>
      </c>
    </row>
    <row r="273" spans="1:60" x14ac:dyDescent="0.3">
      <c r="A273" s="3" t="s">
        <v>1141</v>
      </c>
      <c r="B273" s="3" t="s">
        <v>16</v>
      </c>
      <c r="C273" s="3">
        <v>10</v>
      </c>
      <c r="D273" s="3">
        <v>10</v>
      </c>
      <c r="E273" s="4">
        <v>9</v>
      </c>
      <c r="F273" s="4">
        <v>9</v>
      </c>
      <c r="K273" s="4">
        <v>10</v>
      </c>
      <c r="L273" s="4">
        <v>9</v>
      </c>
      <c r="AE273" s="4">
        <v>10</v>
      </c>
      <c r="AF273" s="4">
        <v>10</v>
      </c>
      <c r="AU273" s="4">
        <v>9</v>
      </c>
      <c r="AV273" s="4">
        <v>9</v>
      </c>
      <c r="AY273" s="3" t="s">
        <v>18</v>
      </c>
      <c r="AZ273" s="3" t="s">
        <v>18</v>
      </c>
      <c r="BA273" s="3" t="s">
        <v>644</v>
      </c>
      <c r="BD273" s="3" t="s">
        <v>615</v>
      </c>
      <c r="BE273" s="3" t="s">
        <v>623</v>
      </c>
      <c r="BF273" s="3" t="s">
        <v>311</v>
      </c>
      <c r="BG273" s="3" t="s">
        <v>645</v>
      </c>
      <c r="BH273" s="3" t="s">
        <v>646</v>
      </c>
    </row>
    <row r="274" spans="1:60" x14ac:dyDescent="0.3">
      <c r="A274" s="3" t="s">
        <v>1141</v>
      </c>
      <c r="B274" s="3" t="s">
        <v>26</v>
      </c>
      <c r="C274" s="3">
        <v>10</v>
      </c>
      <c r="D274" s="3">
        <v>10</v>
      </c>
      <c r="E274" s="4">
        <v>9</v>
      </c>
      <c r="F274" s="4">
        <v>9</v>
      </c>
      <c r="K274" s="4">
        <v>9</v>
      </c>
      <c r="L274" s="4">
        <v>9</v>
      </c>
      <c r="AE274" s="4">
        <v>10</v>
      </c>
      <c r="AF274" s="4">
        <v>10</v>
      </c>
      <c r="AU274" s="4">
        <v>8</v>
      </c>
      <c r="AV274" s="4">
        <v>9</v>
      </c>
      <c r="AY274" s="3" t="s">
        <v>18</v>
      </c>
      <c r="AZ274" s="3" t="s">
        <v>18</v>
      </c>
      <c r="BA274" s="3" t="s">
        <v>647</v>
      </c>
      <c r="BD274" s="3" t="s">
        <v>618</v>
      </c>
      <c r="BE274" s="3" t="s">
        <v>623</v>
      </c>
      <c r="BF274" s="3" t="s">
        <v>640</v>
      </c>
      <c r="BG274" s="3" t="s">
        <v>648</v>
      </c>
      <c r="BH274" s="3" t="s">
        <v>649</v>
      </c>
    </row>
    <row r="275" spans="1:60" x14ac:dyDescent="0.3">
      <c r="A275" s="3" t="s">
        <v>1141</v>
      </c>
      <c r="B275" s="3" t="s">
        <v>16</v>
      </c>
      <c r="C275" s="3">
        <v>10</v>
      </c>
      <c r="D275" s="3">
        <v>10</v>
      </c>
      <c r="E275" s="4">
        <v>9</v>
      </c>
      <c r="F275" s="4">
        <v>8</v>
      </c>
      <c r="K275" s="4">
        <v>9</v>
      </c>
      <c r="L275" s="4">
        <v>9</v>
      </c>
      <c r="AE275" s="4">
        <v>9</v>
      </c>
      <c r="AF275" s="4">
        <v>10</v>
      </c>
      <c r="AU275" s="4">
        <v>9</v>
      </c>
      <c r="AV275" s="4">
        <v>9</v>
      </c>
      <c r="AY275" s="3" t="s">
        <v>18</v>
      </c>
      <c r="AZ275" s="3" t="s">
        <v>18</v>
      </c>
      <c r="BA275" s="3" t="s">
        <v>61</v>
      </c>
      <c r="BD275" s="3" t="s">
        <v>618</v>
      </c>
      <c r="BE275" s="3" t="s">
        <v>619</v>
      </c>
      <c r="BF275" s="3" t="s">
        <v>650</v>
      </c>
      <c r="BG275" s="3" t="s">
        <v>61</v>
      </c>
      <c r="BH275" s="3" t="s">
        <v>61</v>
      </c>
    </row>
    <row r="276" spans="1:60" x14ac:dyDescent="0.3">
      <c r="A276" s="3" t="s">
        <v>1141</v>
      </c>
      <c r="B276" s="3" t="s">
        <v>26</v>
      </c>
      <c r="C276" s="3">
        <v>10</v>
      </c>
      <c r="D276" s="3">
        <v>10</v>
      </c>
      <c r="E276" s="4">
        <v>1</v>
      </c>
      <c r="F276" s="4">
        <v>1</v>
      </c>
      <c r="K276" s="4">
        <v>10</v>
      </c>
      <c r="L276" s="4">
        <v>10</v>
      </c>
      <c r="AE276" s="4">
        <v>10</v>
      </c>
      <c r="AF276" s="4">
        <v>10</v>
      </c>
      <c r="AU276" s="4">
        <v>1</v>
      </c>
      <c r="AV276" s="4">
        <v>1</v>
      </c>
      <c r="AY276" s="3" t="s">
        <v>17</v>
      </c>
      <c r="BB276" s="3" t="s">
        <v>17</v>
      </c>
      <c r="BC276" s="3" t="s">
        <v>22</v>
      </c>
      <c r="BD276" s="3" t="s">
        <v>615</v>
      </c>
      <c r="BE276" s="3" t="s">
        <v>619</v>
      </c>
      <c r="BF276" s="3" t="s">
        <v>651</v>
      </c>
      <c r="BG276" s="3" t="s">
        <v>621</v>
      </c>
      <c r="BH276" s="3" t="s">
        <v>28</v>
      </c>
    </row>
    <row r="277" spans="1:60" x14ac:dyDescent="0.3">
      <c r="A277" s="3" t="s">
        <v>1141</v>
      </c>
      <c r="B277" s="3" t="s">
        <v>26</v>
      </c>
      <c r="C277" s="3">
        <v>16</v>
      </c>
      <c r="D277" s="3">
        <v>7</v>
      </c>
      <c r="I277" s="4">
        <v>3</v>
      </c>
      <c r="J277" s="4">
        <v>3</v>
      </c>
      <c r="K277" s="4">
        <v>10</v>
      </c>
      <c r="L277" s="4">
        <v>10</v>
      </c>
      <c r="Q277" s="4">
        <v>8</v>
      </c>
      <c r="R277" s="4">
        <v>8</v>
      </c>
      <c r="AC277" s="4">
        <v>6</v>
      </c>
      <c r="AD277" s="4">
        <v>6</v>
      </c>
      <c r="AE277" s="4">
        <v>7</v>
      </c>
      <c r="AF277" s="4">
        <v>7</v>
      </c>
      <c r="AK277" s="4">
        <v>9</v>
      </c>
      <c r="AL277" s="4">
        <v>9</v>
      </c>
      <c r="AY277" s="3" t="s">
        <v>17</v>
      </c>
      <c r="BB277" s="3" t="s">
        <v>18</v>
      </c>
      <c r="BC277" s="3" t="s">
        <v>22</v>
      </c>
      <c r="BD277" s="3" t="s">
        <v>618</v>
      </c>
      <c r="BE277" s="3" t="s">
        <v>619</v>
      </c>
      <c r="BF277" s="3" t="s">
        <v>98</v>
      </c>
      <c r="BG277" s="3" t="s">
        <v>652</v>
      </c>
      <c r="BH277" s="3" t="s">
        <v>653</v>
      </c>
    </row>
    <row r="278" spans="1:60" x14ac:dyDescent="0.3">
      <c r="A278" s="3" t="s">
        <v>1141</v>
      </c>
      <c r="B278" s="3" t="s">
        <v>26</v>
      </c>
      <c r="C278" s="3">
        <v>16</v>
      </c>
      <c r="D278" s="3">
        <v>8</v>
      </c>
      <c r="I278" s="4">
        <v>4</v>
      </c>
      <c r="J278" s="4">
        <v>6</v>
      </c>
      <c r="K278" s="4">
        <v>8</v>
      </c>
      <c r="L278" s="4">
        <v>10</v>
      </c>
      <c r="Q278" s="4">
        <v>8</v>
      </c>
      <c r="R278" s="4">
        <v>9</v>
      </c>
      <c r="AC278" s="4">
        <v>4</v>
      </c>
      <c r="AD278" s="4">
        <v>5</v>
      </c>
      <c r="AE278" s="4">
        <v>7</v>
      </c>
      <c r="AF278" s="4">
        <v>8</v>
      </c>
      <c r="AK278" s="4">
        <v>9</v>
      </c>
      <c r="AL278" s="4">
        <v>10</v>
      </c>
      <c r="AY278" s="3" t="s">
        <v>17</v>
      </c>
      <c r="BB278" s="3" t="s">
        <v>18</v>
      </c>
      <c r="BC278" s="3" t="s">
        <v>18</v>
      </c>
      <c r="BD278" s="3" t="s">
        <v>615</v>
      </c>
      <c r="BE278" s="3" t="s">
        <v>619</v>
      </c>
      <c r="BF278" s="3" t="s">
        <v>654</v>
      </c>
      <c r="BG278" s="3" t="s">
        <v>655</v>
      </c>
      <c r="BH278" s="3" t="s">
        <v>209</v>
      </c>
    </row>
    <row r="279" spans="1:60" x14ac:dyDescent="0.3">
      <c r="A279" s="3" t="s">
        <v>1141</v>
      </c>
      <c r="B279" s="3" t="s">
        <v>26</v>
      </c>
      <c r="C279" s="3">
        <v>16</v>
      </c>
      <c r="D279" s="3">
        <v>9</v>
      </c>
      <c r="I279" s="4">
        <v>7</v>
      </c>
      <c r="J279" s="4">
        <v>7</v>
      </c>
      <c r="K279" s="4">
        <v>9</v>
      </c>
      <c r="L279" s="4">
        <v>9</v>
      </c>
      <c r="Q279" s="4">
        <v>7</v>
      </c>
      <c r="R279" s="4">
        <v>6</v>
      </c>
      <c r="AC279" s="4">
        <v>7</v>
      </c>
      <c r="AD279" s="4">
        <v>7</v>
      </c>
      <c r="AE279" s="4">
        <v>8</v>
      </c>
      <c r="AF279" s="4">
        <v>8</v>
      </c>
      <c r="AK279" s="4">
        <v>8</v>
      </c>
      <c r="AL279" s="4">
        <v>8</v>
      </c>
      <c r="AY279" s="3" t="s">
        <v>22</v>
      </c>
      <c r="AZ279" s="3" t="s">
        <v>22</v>
      </c>
      <c r="BD279" s="3" t="s">
        <v>656</v>
      </c>
      <c r="BE279" s="3" t="s">
        <v>623</v>
      </c>
      <c r="BF279" s="3" t="s">
        <v>657</v>
      </c>
      <c r="BG279" s="3" t="s">
        <v>24</v>
      </c>
      <c r="BH279" s="3" t="s">
        <v>24</v>
      </c>
    </row>
    <row r="280" spans="1:60" x14ac:dyDescent="0.3">
      <c r="A280" s="3" t="s">
        <v>1141</v>
      </c>
      <c r="B280" s="3" t="s">
        <v>26</v>
      </c>
      <c r="C280" s="3">
        <v>16</v>
      </c>
      <c r="D280" s="3">
        <v>9</v>
      </c>
      <c r="I280" s="4">
        <v>8</v>
      </c>
      <c r="J280" s="4">
        <v>8</v>
      </c>
      <c r="K280" s="4">
        <v>10</v>
      </c>
      <c r="L280" s="4">
        <v>10</v>
      </c>
      <c r="Q280" s="4">
        <v>9</v>
      </c>
      <c r="R280" s="4">
        <v>9</v>
      </c>
      <c r="AC280" s="4">
        <v>9</v>
      </c>
      <c r="AD280" s="4">
        <v>9</v>
      </c>
      <c r="AE280" s="4">
        <v>9</v>
      </c>
      <c r="AF280" s="4">
        <v>8</v>
      </c>
      <c r="AK280" s="4">
        <v>8</v>
      </c>
      <c r="AL280" s="4">
        <v>8</v>
      </c>
      <c r="AY280" s="3" t="s">
        <v>18</v>
      </c>
      <c r="AZ280" s="3" t="s">
        <v>18</v>
      </c>
      <c r="BD280" s="3" t="s">
        <v>656</v>
      </c>
      <c r="BE280" s="3" t="s">
        <v>623</v>
      </c>
      <c r="BF280" s="3" t="s">
        <v>658</v>
      </c>
      <c r="BG280" s="3" t="s">
        <v>659</v>
      </c>
    </row>
    <row r="281" spans="1:60" x14ac:dyDescent="0.3">
      <c r="A281" s="3" t="s">
        <v>1141</v>
      </c>
      <c r="B281" s="3" t="s">
        <v>26</v>
      </c>
      <c r="C281" s="3">
        <v>16</v>
      </c>
      <c r="D281" s="3">
        <v>7</v>
      </c>
      <c r="I281" s="4">
        <v>1</v>
      </c>
      <c r="J281" s="4">
        <v>1</v>
      </c>
      <c r="K281" s="4">
        <v>8</v>
      </c>
      <c r="L281" s="4">
        <v>4</v>
      </c>
      <c r="Q281" s="4">
        <v>8</v>
      </c>
      <c r="R281" s="4">
        <v>3</v>
      </c>
      <c r="S281" s="4">
        <v>10</v>
      </c>
      <c r="T281" s="4">
        <v>10</v>
      </c>
      <c r="AI281" s="4">
        <v>5</v>
      </c>
      <c r="AJ281" s="4">
        <v>9</v>
      </c>
      <c r="AY281" s="3" t="s">
        <v>18</v>
      </c>
      <c r="BA281" s="3" t="s">
        <v>18</v>
      </c>
      <c r="BB281" s="3" t="s">
        <v>22</v>
      </c>
      <c r="BC281" s="3" t="s">
        <v>618</v>
      </c>
      <c r="BD281" s="3" t="s">
        <v>618</v>
      </c>
      <c r="BE281" s="3" t="s">
        <v>619</v>
      </c>
      <c r="BF281" s="3" t="s">
        <v>652</v>
      </c>
      <c r="BG281" s="3" t="s">
        <v>653</v>
      </c>
    </row>
    <row r="282" spans="1:60" x14ac:dyDescent="0.3">
      <c r="A282" s="3" t="s">
        <v>1141</v>
      </c>
      <c r="B282" s="3" t="s">
        <v>26</v>
      </c>
      <c r="C282" s="3">
        <v>16</v>
      </c>
      <c r="D282" s="3">
        <v>8</v>
      </c>
      <c r="I282" s="4">
        <v>10</v>
      </c>
      <c r="J282" s="4">
        <v>10</v>
      </c>
      <c r="K282" s="4">
        <v>10</v>
      </c>
      <c r="L282" s="4">
        <v>10</v>
      </c>
      <c r="Q282" s="4">
        <v>10</v>
      </c>
      <c r="R282" s="4">
        <v>10</v>
      </c>
      <c r="S282" s="4">
        <v>10</v>
      </c>
      <c r="T282" s="4">
        <v>10</v>
      </c>
      <c r="AI282" s="4">
        <v>10</v>
      </c>
      <c r="AJ282" s="4">
        <v>10</v>
      </c>
      <c r="AY282" s="3" t="s">
        <v>18</v>
      </c>
      <c r="BA282" s="3" t="s">
        <v>18</v>
      </c>
      <c r="BB282" s="3" t="s">
        <v>18</v>
      </c>
      <c r="BC282" s="3" t="s">
        <v>615</v>
      </c>
      <c r="BD282" s="3" t="s">
        <v>618</v>
      </c>
      <c r="BE282" s="3" t="s">
        <v>619</v>
      </c>
      <c r="BF282" s="3" t="s">
        <v>655</v>
      </c>
      <c r="BG282" s="3" t="s">
        <v>209</v>
      </c>
    </row>
    <row r="283" spans="1:60" x14ac:dyDescent="0.3">
      <c r="A283" s="3" t="s">
        <v>1141</v>
      </c>
      <c r="B283" s="3" t="s">
        <v>26</v>
      </c>
      <c r="C283" s="3">
        <v>16</v>
      </c>
      <c r="D283" s="3">
        <v>9</v>
      </c>
      <c r="I283" s="4">
        <v>10</v>
      </c>
      <c r="J283" s="4">
        <v>8</v>
      </c>
      <c r="K283" s="4">
        <v>8</v>
      </c>
      <c r="L283" s="4">
        <v>9</v>
      </c>
      <c r="Q283" s="4">
        <v>8</v>
      </c>
      <c r="R283" s="4">
        <v>8</v>
      </c>
      <c r="S283" s="4">
        <v>10</v>
      </c>
      <c r="T283" s="4">
        <v>10</v>
      </c>
      <c r="AI283" s="4">
        <v>9</v>
      </c>
      <c r="AJ283" s="4">
        <v>9</v>
      </c>
      <c r="AY283" s="3" t="s">
        <v>22</v>
      </c>
      <c r="BC283" s="3" t="s">
        <v>656</v>
      </c>
      <c r="BD283" s="3" t="s">
        <v>656</v>
      </c>
      <c r="BE283" s="3" t="s">
        <v>619</v>
      </c>
      <c r="BF283" s="3" t="s">
        <v>24</v>
      </c>
      <c r="BG283" s="3" t="s">
        <v>24</v>
      </c>
    </row>
    <row r="284" spans="1:60" x14ac:dyDescent="0.3">
      <c r="A284" s="3" t="s">
        <v>1141</v>
      </c>
      <c r="B284" s="3" t="s">
        <v>26</v>
      </c>
      <c r="C284" s="3">
        <v>16</v>
      </c>
      <c r="D284" s="3">
        <v>9</v>
      </c>
      <c r="I284" s="4">
        <v>10</v>
      </c>
      <c r="J284" s="4">
        <v>10</v>
      </c>
      <c r="K284" s="4">
        <v>9</v>
      </c>
      <c r="L284" s="4">
        <v>10</v>
      </c>
      <c r="Q284" s="4">
        <v>10</v>
      </c>
      <c r="R284" s="4">
        <v>10</v>
      </c>
      <c r="S284" s="4">
        <v>10</v>
      </c>
      <c r="T284" s="4">
        <v>10</v>
      </c>
      <c r="AI284" s="4">
        <v>10</v>
      </c>
      <c r="AJ284" s="4">
        <v>10</v>
      </c>
      <c r="AY284" s="3" t="s">
        <v>18</v>
      </c>
      <c r="BC284" s="3" t="s">
        <v>656</v>
      </c>
      <c r="BD284" s="3" t="s">
        <v>656</v>
      </c>
      <c r="BE284" s="3" t="s">
        <v>619</v>
      </c>
      <c r="BF284" s="3" t="s">
        <v>659</v>
      </c>
      <c r="BH284" s="3" t="s">
        <v>660</v>
      </c>
    </row>
    <row r="285" spans="1:60" x14ac:dyDescent="0.3">
      <c r="A285" s="3" t="s">
        <v>1141</v>
      </c>
      <c r="B285" s="3" t="s">
        <v>26</v>
      </c>
      <c r="C285" s="3">
        <v>16</v>
      </c>
      <c r="D285" s="3">
        <v>7</v>
      </c>
      <c r="I285" s="4">
        <v>6</v>
      </c>
      <c r="J285" s="4">
        <v>8</v>
      </c>
      <c r="K285" s="4">
        <v>10</v>
      </c>
      <c r="L285" s="4">
        <v>8</v>
      </c>
      <c r="Q285" s="4">
        <v>7</v>
      </c>
      <c r="R285" s="4">
        <v>7</v>
      </c>
      <c r="S285" s="4">
        <v>10</v>
      </c>
      <c r="T285" s="4">
        <v>10</v>
      </c>
      <c r="AI285" s="4">
        <v>8</v>
      </c>
      <c r="AJ285" s="4">
        <v>9</v>
      </c>
      <c r="AY285" s="3" t="s">
        <v>17</v>
      </c>
      <c r="BB285" s="3" t="s">
        <v>22</v>
      </c>
      <c r="BC285" s="3" t="s">
        <v>22</v>
      </c>
      <c r="BD285" s="3" t="s">
        <v>618</v>
      </c>
      <c r="BE285" s="3" t="s">
        <v>619</v>
      </c>
      <c r="BF285" s="3" t="s">
        <v>661</v>
      </c>
      <c r="BG285" s="3" t="s">
        <v>662</v>
      </c>
    </row>
    <row r="286" spans="1:60" x14ac:dyDescent="0.3">
      <c r="A286" s="3" t="s">
        <v>1141</v>
      </c>
      <c r="B286" s="3" t="s">
        <v>16</v>
      </c>
      <c r="C286" s="3">
        <v>16</v>
      </c>
      <c r="D286" s="3">
        <v>10</v>
      </c>
      <c r="I286" s="4">
        <v>9</v>
      </c>
      <c r="J286" s="4">
        <v>7</v>
      </c>
      <c r="K286" s="4">
        <v>10</v>
      </c>
      <c r="L286" s="4">
        <v>10</v>
      </c>
      <c r="Q286" s="4">
        <v>7</v>
      </c>
      <c r="R286" s="4">
        <v>6</v>
      </c>
      <c r="S286" s="4">
        <v>10</v>
      </c>
      <c r="T286" s="4">
        <v>9</v>
      </c>
      <c r="AI286" s="4">
        <v>6</v>
      </c>
      <c r="AJ286" s="4">
        <v>8</v>
      </c>
      <c r="AY286" s="3" t="s">
        <v>18</v>
      </c>
      <c r="AZ286" s="3" t="s">
        <v>18</v>
      </c>
      <c r="BD286" s="3" t="s">
        <v>618</v>
      </c>
      <c r="BE286" s="3" t="s">
        <v>619</v>
      </c>
      <c r="BF286" s="3" t="s">
        <v>663</v>
      </c>
      <c r="BG286" s="3" t="s">
        <v>28</v>
      </c>
    </row>
    <row r="287" spans="1:60" x14ac:dyDescent="0.3">
      <c r="A287" s="3" t="s">
        <v>1141</v>
      </c>
      <c r="B287" s="3" t="s">
        <v>16</v>
      </c>
      <c r="C287" s="3">
        <v>15</v>
      </c>
      <c r="D287" s="3">
        <v>10</v>
      </c>
      <c r="I287" s="4">
        <v>8</v>
      </c>
      <c r="J287" s="4">
        <v>7</v>
      </c>
      <c r="K287" s="4">
        <v>10</v>
      </c>
      <c r="L287" s="4">
        <v>9</v>
      </c>
      <c r="Q287" s="4">
        <v>8</v>
      </c>
      <c r="R287" s="4">
        <v>6</v>
      </c>
      <c r="S287" s="4">
        <v>9</v>
      </c>
      <c r="T287" s="4">
        <v>8</v>
      </c>
      <c r="AI287" s="4">
        <v>9</v>
      </c>
      <c r="AJ287" s="4">
        <v>8</v>
      </c>
      <c r="AY287" s="3" t="s">
        <v>17</v>
      </c>
      <c r="BB287" s="3" t="s">
        <v>18</v>
      </c>
      <c r="BC287" s="3" t="s">
        <v>22</v>
      </c>
      <c r="BD287" s="3" t="s">
        <v>615</v>
      </c>
      <c r="BE287" s="3" t="s">
        <v>623</v>
      </c>
      <c r="BF287" s="3" t="s">
        <v>664</v>
      </c>
      <c r="BG287" s="3" t="s">
        <v>665</v>
      </c>
    </row>
    <row r="288" spans="1:60" x14ac:dyDescent="0.3">
      <c r="A288" s="3" t="s">
        <v>1141</v>
      </c>
      <c r="B288" s="3" t="s">
        <v>26</v>
      </c>
      <c r="C288" s="3">
        <v>16</v>
      </c>
      <c r="D288" s="3">
        <v>10</v>
      </c>
      <c r="I288" s="4">
        <v>10</v>
      </c>
      <c r="J288" s="4">
        <v>9</v>
      </c>
      <c r="K288" s="4">
        <v>10</v>
      </c>
      <c r="L288" s="4">
        <v>9</v>
      </c>
      <c r="Q288" s="4">
        <v>10</v>
      </c>
      <c r="R288" s="4">
        <v>9</v>
      </c>
      <c r="S288" s="4">
        <v>10</v>
      </c>
      <c r="T288" s="4">
        <v>9</v>
      </c>
      <c r="AI288" s="4">
        <v>10</v>
      </c>
      <c r="AJ288" s="4">
        <v>9</v>
      </c>
      <c r="AY288" s="3" t="s">
        <v>22</v>
      </c>
      <c r="AZ288" s="3" t="s">
        <v>22</v>
      </c>
      <c r="BD288" s="3" t="s">
        <v>618</v>
      </c>
      <c r="BE288" s="3" t="s">
        <v>623</v>
      </c>
      <c r="BF288" s="3" t="s">
        <v>666</v>
      </c>
      <c r="BG288" s="3" t="s">
        <v>222</v>
      </c>
      <c r="BH288" s="3" t="s">
        <v>660</v>
      </c>
    </row>
    <row r="289" spans="1:60" x14ac:dyDescent="0.3">
      <c r="A289" s="3" t="s">
        <v>1141</v>
      </c>
      <c r="B289" s="3" t="s">
        <v>16</v>
      </c>
      <c r="C289" s="3">
        <v>16</v>
      </c>
      <c r="D289" s="3">
        <v>9</v>
      </c>
      <c r="I289" s="4">
        <v>5</v>
      </c>
      <c r="J289" s="4">
        <v>5</v>
      </c>
      <c r="K289" s="4">
        <v>7</v>
      </c>
      <c r="L289" s="4">
        <v>8</v>
      </c>
      <c r="Q289" s="4">
        <v>6</v>
      </c>
      <c r="R289" s="4">
        <v>7</v>
      </c>
      <c r="S289" s="4">
        <v>8</v>
      </c>
      <c r="T289" s="4">
        <v>8</v>
      </c>
      <c r="AI289" s="4">
        <v>9</v>
      </c>
      <c r="AJ289" s="4">
        <v>10</v>
      </c>
      <c r="AY289" s="3" t="s">
        <v>18</v>
      </c>
      <c r="AZ289" s="3" t="s">
        <v>18</v>
      </c>
      <c r="BD289" s="3" t="s">
        <v>618</v>
      </c>
      <c r="BE289" s="3" t="s">
        <v>619</v>
      </c>
      <c r="BF289" s="3" t="s">
        <v>667</v>
      </c>
      <c r="BG289" s="3" t="s">
        <v>668</v>
      </c>
      <c r="BH289" s="3" t="s">
        <v>669</v>
      </c>
    </row>
    <row r="290" spans="1:60" x14ac:dyDescent="0.3">
      <c r="A290" s="3" t="s">
        <v>1141</v>
      </c>
      <c r="B290" s="3" t="s">
        <v>16</v>
      </c>
      <c r="C290" s="3">
        <v>15</v>
      </c>
      <c r="D290" s="3">
        <v>9</v>
      </c>
      <c r="I290" s="4">
        <v>6</v>
      </c>
      <c r="J290" s="4">
        <v>6</v>
      </c>
      <c r="K290" s="4">
        <v>8</v>
      </c>
      <c r="L290" s="4">
        <v>8</v>
      </c>
      <c r="Q290" s="4">
        <v>8</v>
      </c>
      <c r="R290" s="4">
        <v>8</v>
      </c>
      <c r="S290" s="4">
        <v>8</v>
      </c>
      <c r="T290" s="4">
        <v>8</v>
      </c>
      <c r="AI290" s="4">
        <v>10</v>
      </c>
      <c r="AJ290" s="4">
        <v>9</v>
      </c>
      <c r="AY290" s="3" t="s">
        <v>18</v>
      </c>
      <c r="AZ290" s="3" t="s">
        <v>18</v>
      </c>
      <c r="BD290" s="3" t="s">
        <v>615</v>
      </c>
      <c r="BE290" s="3" t="s">
        <v>623</v>
      </c>
      <c r="BF290" s="3" t="s">
        <v>670</v>
      </c>
      <c r="BG290" s="3" t="s">
        <v>671</v>
      </c>
      <c r="BH290" s="3" t="s">
        <v>672</v>
      </c>
    </row>
    <row r="291" spans="1:60" x14ac:dyDescent="0.3">
      <c r="A291" s="3" t="s">
        <v>1141</v>
      </c>
      <c r="B291" s="3" t="s">
        <v>16</v>
      </c>
      <c r="C291" s="3">
        <v>15</v>
      </c>
      <c r="D291" s="3">
        <v>9</v>
      </c>
      <c r="I291" s="4">
        <v>8</v>
      </c>
      <c r="J291" s="4">
        <v>9</v>
      </c>
      <c r="K291" s="4">
        <v>8</v>
      </c>
      <c r="L291" s="4">
        <v>9</v>
      </c>
      <c r="Q291" s="4">
        <v>3</v>
      </c>
      <c r="R291" s="4">
        <v>4</v>
      </c>
      <c r="S291" s="4">
        <v>1</v>
      </c>
      <c r="T291" s="4">
        <v>2</v>
      </c>
      <c r="AI291" s="4">
        <v>6</v>
      </c>
      <c r="AJ291" s="4">
        <v>10</v>
      </c>
      <c r="AY291" s="3" t="s">
        <v>18</v>
      </c>
      <c r="AZ291" s="3" t="s">
        <v>18</v>
      </c>
      <c r="BD291" s="3" t="s">
        <v>656</v>
      </c>
      <c r="BE291" s="3" t="s">
        <v>623</v>
      </c>
      <c r="BF291" s="3" t="s">
        <v>673</v>
      </c>
      <c r="BG291" s="3" t="s">
        <v>358</v>
      </c>
    </row>
    <row r="292" spans="1:60" x14ac:dyDescent="0.3">
      <c r="A292" s="3" t="s">
        <v>1141</v>
      </c>
      <c r="B292" s="3" t="s">
        <v>26</v>
      </c>
      <c r="C292" s="3">
        <v>15</v>
      </c>
      <c r="D292" s="3">
        <v>10</v>
      </c>
      <c r="I292" s="4">
        <v>10</v>
      </c>
      <c r="J292" s="4">
        <v>10</v>
      </c>
      <c r="K292" s="4">
        <v>10</v>
      </c>
      <c r="L292" s="4">
        <v>10</v>
      </c>
      <c r="Q292" s="4">
        <v>10</v>
      </c>
      <c r="R292" s="4">
        <v>10</v>
      </c>
      <c r="S292" s="4">
        <v>10</v>
      </c>
      <c r="T292" s="4">
        <v>10</v>
      </c>
      <c r="AI292" s="4">
        <v>7</v>
      </c>
      <c r="AJ292" s="4">
        <v>8</v>
      </c>
      <c r="AY292" s="3" t="s">
        <v>18</v>
      </c>
      <c r="AZ292" s="3" t="s">
        <v>18</v>
      </c>
      <c r="BA292" s="3" t="s">
        <v>674</v>
      </c>
      <c r="BD292" s="3" t="s">
        <v>618</v>
      </c>
      <c r="BE292" s="3" t="s">
        <v>623</v>
      </c>
      <c r="BF292" s="3" t="s">
        <v>675</v>
      </c>
      <c r="BG292" s="3" t="s">
        <v>676</v>
      </c>
      <c r="BH292" s="3" t="s">
        <v>28</v>
      </c>
    </row>
    <row r="293" spans="1:60" x14ac:dyDescent="0.3">
      <c r="A293" s="3" t="s">
        <v>1141</v>
      </c>
      <c r="B293" s="3" t="s">
        <v>26</v>
      </c>
      <c r="C293" s="3">
        <v>15</v>
      </c>
      <c r="D293" s="3">
        <v>8</v>
      </c>
      <c r="I293" s="4">
        <v>8</v>
      </c>
      <c r="J293" s="4">
        <v>8</v>
      </c>
      <c r="K293" s="4">
        <v>8</v>
      </c>
      <c r="L293" s="4">
        <v>8</v>
      </c>
      <c r="Q293" s="4">
        <v>8</v>
      </c>
      <c r="R293" s="4">
        <v>8</v>
      </c>
      <c r="S293" s="4">
        <v>8</v>
      </c>
      <c r="T293" s="4">
        <v>8</v>
      </c>
      <c r="AI293" s="4">
        <v>8</v>
      </c>
      <c r="AJ293" s="4">
        <v>8</v>
      </c>
      <c r="AY293" s="3" t="s">
        <v>18</v>
      </c>
      <c r="AZ293" s="3" t="s">
        <v>18</v>
      </c>
      <c r="BA293" s="3" t="s">
        <v>677</v>
      </c>
      <c r="BD293" s="3" t="s">
        <v>618</v>
      </c>
      <c r="BE293" s="3" t="s">
        <v>623</v>
      </c>
      <c r="BF293" s="3" t="s">
        <v>678</v>
      </c>
      <c r="BG293" s="3" t="s">
        <v>679</v>
      </c>
      <c r="BH293" s="3" t="s">
        <v>680</v>
      </c>
    </row>
    <row r="294" spans="1:60" x14ac:dyDescent="0.3">
      <c r="A294" s="3" t="s">
        <v>1141</v>
      </c>
      <c r="B294" s="3" t="s">
        <v>26</v>
      </c>
      <c r="C294" s="3">
        <v>15</v>
      </c>
      <c r="D294" s="3">
        <v>8</v>
      </c>
      <c r="I294" s="4">
        <v>8</v>
      </c>
      <c r="J294" s="4">
        <v>8</v>
      </c>
      <c r="K294" s="4">
        <v>8</v>
      </c>
      <c r="L294" s="4">
        <v>8</v>
      </c>
      <c r="Q294" s="4">
        <v>6</v>
      </c>
      <c r="R294" s="4">
        <v>6</v>
      </c>
      <c r="S294" s="4">
        <v>9</v>
      </c>
      <c r="T294" s="4">
        <v>8</v>
      </c>
      <c r="AI294" s="4">
        <v>9</v>
      </c>
      <c r="AJ294" s="4">
        <v>9</v>
      </c>
      <c r="AY294" s="3" t="s">
        <v>18</v>
      </c>
      <c r="AZ294" s="3" t="s">
        <v>18</v>
      </c>
      <c r="BA294" s="3" t="s">
        <v>681</v>
      </c>
      <c r="BD294" s="3" t="s">
        <v>618</v>
      </c>
      <c r="BE294" s="3" t="s">
        <v>623</v>
      </c>
      <c r="BF294" s="3" t="s">
        <v>682</v>
      </c>
      <c r="BG294" s="3" t="s">
        <v>683</v>
      </c>
      <c r="BH294" s="3" t="s">
        <v>684</v>
      </c>
    </row>
    <row r="295" spans="1:60" x14ac:dyDescent="0.3">
      <c r="A295" s="3" t="s">
        <v>1141</v>
      </c>
      <c r="B295" s="3" t="s">
        <v>26</v>
      </c>
      <c r="C295" s="3">
        <v>15</v>
      </c>
      <c r="D295" s="3">
        <v>9</v>
      </c>
      <c r="I295" s="4">
        <v>5</v>
      </c>
      <c r="J295" s="4">
        <v>8</v>
      </c>
      <c r="K295" s="4">
        <v>10</v>
      </c>
      <c r="L295" s="4">
        <v>10</v>
      </c>
      <c r="Q295" s="4">
        <v>6</v>
      </c>
      <c r="R295" s="4">
        <v>8</v>
      </c>
      <c r="S295" s="4">
        <v>7</v>
      </c>
      <c r="T295" s="4">
        <v>5</v>
      </c>
      <c r="AI295" s="4">
        <v>5</v>
      </c>
      <c r="AJ295" s="4">
        <v>5</v>
      </c>
      <c r="AY295" s="3" t="s">
        <v>22</v>
      </c>
      <c r="AZ295" s="3" t="s">
        <v>18</v>
      </c>
      <c r="BD295" s="3" t="s">
        <v>618</v>
      </c>
      <c r="BE295" s="3" t="s">
        <v>623</v>
      </c>
      <c r="BF295" s="3" t="s">
        <v>23</v>
      </c>
      <c r="BG295" s="3" t="s">
        <v>35</v>
      </c>
      <c r="BH295" s="3" t="s">
        <v>685</v>
      </c>
    </row>
    <row r="296" spans="1:60" x14ac:dyDescent="0.3">
      <c r="A296" s="3" t="s">
        <v>1141</v>
      </c>
      <c r="B296" s="3" t="s">
        <v>26</v>
      </c>
      <c r="C296" s="3">
        <v>15</v>
      </c>
      <c r="D296" s="3">
        <v>10</v>
      </c>
      <c r="I296" s="4">
        <v>10</v>
      </c>
      <c r="J296" s="4">
        <v>10</v>
      </c>
      <c r="K296" s="4">
        <v>10</v>
      </c>
      <c r="L296" s="4">
        <v>10</v>
      </c>
      <c r="Q296" s="4">
        <v>10</v>
      </c>
      <c r="R296" s="4">
        <v>10</v>
      </c>
      <c r="S296" s="4">
        <v>10</v>
      </c>
      <c r="T296" s="4">
        <v>10</v>
      </c>
      <c r="AI296" s="4">
        <v>10</v>
      </c>
      <c r="AJ296" s="4">
        <v>10</v>
      </c>
      <c r="AY296" s="3" t="s">
        <v>18</v>
      </c>
      <c r="AZ296" s="3" t="s">
        <v>22</v>
      </c>
      <c r="BA296" s="3" t="s">
        <v>686</v>
      </c>
      <c r="BD296" s="3" t="s">
        <v>615</v>
      </c>
      <c r="BE296" s="3" t="s">
        <v>623</v>
      </c>
      <c r="BF296" s="3" t="s">
        <v>687</v>
      </c>
      <c r="BG296" s="3" t="s">
        <v>688</v>
      </c>
      <c r="BH296" s="3" t="s">
        <v>689</v>
      </c>
    </row>
    <row r="297" spans="1:60" x14ac:dyDescent="0.3">
      <c r="A297" s="3" t="s">
        <v>1141</v>
      </c>
      <c r="B297" s="3" t="s">
        <v>26</v>
      </c>
      <c r="C297" s="3">
        <v>15</v>
      </c>
      <c r="D297" s="3">
        <v>8</v>
      </c>
      <c r="I297" s="4">
        <v>4</v>
      </c>
      <c r="J297" s="4">
        <v>4</v>
      </c>
      <c r="K297" s="4">
        <v>9</v>
      </c>
      <c r="L297" s="4">
        <v>9</v>
      </c>
      <c r="Q297" s="4">
        <v>8</v>
      </c>
      <c r="R297" s="4">
        <v>8</v>
      </c>
      <c r="S297" s="4">
        <v>8</v>
      </c>
      <c r="T297" s="4">
        <v>8</v>
      </c>
      <c r="AI297" s="4">
        <v>9</v>
      </c>
      <c r="AJ297" s="4">
        <v>9</v>
      </c>
      <c r="AY297" s="3" t="s">
        <v>18</v>
      </c>
      <c r="AZ297" s="3" t="s">
        <v>18</v>
      </c>
      <c r="BD297" s="3" t="s">
        <v>618</v>
      </c>
      <c r="BE297" s="3" t="s">
        <v>623</v>
      </c>
      <c r="BF297" s="3" t="s">
        <v>23</v>
      </c>
      <c r="BG297" s="3" t="s">
        <v>476</v>
      </c>
      <c r="BH297" s="3" t="s">
        <v>247</v>
      </c>
    </row>
    <row r="298" spans="1:60" x14ac:dyDescent="0.3">
      <c r="A298" s="3" t="s">
        <v>1141</v>
      </c>
      <c r="B298" s="3" t="s">
        <v>16</v>
      </c>
      <c r="C298" s="3">
        <v>15</v>
      </c>
      <c r="D298" s="3">
        <v>8</v>
      </c>
      <c r="I298" s="4">
        <v>7</v>
      </c>
      <c r="J298" s="4">
        <v>8</v>
      </c>
      <c r="K298" s="4">
        <v>7</v>
      </c>
      <c r="L298" s="4">
        <v>8</v>
      </c>
      <c r="Q298" s="4">
        <v>7</v>
      </c>
      <c r="R298" s="4">
        <v>8</v>
      </c>
      <c r="S298" s="4">
        <v>7</v>
      </c>
      <c r="T298" s="4">
        <v>8</v>
      </c>
      <c r="AI298" s="4">
        <v>7</v>
      </c>
      <c r="AJ298" s="4">
        <v>8</v>
      </c>
      <c r="AY298" s="3" t="s">
        <v>18</v>
      </c>
      <c r="AZ298" s="3" t="s">
        <v>18</v>
      </c>
      <c r="BD298" s="3" t="s">
        <v>615</v>
      </c>
      <c r="BE298" s="3" t="s">
        <v>623</v>
      </c>
      <c r="BF298" s="3" t="s">
        <v>690</v>
      </c>
      <c r="BG298" s="3" t="s">
        <v>358</v>
      </c>
    </row>
    <row r="299" spans="1:60" x14ac:dyDescent="0.3">
      <c r="A299" s="3" t="s">
        <v>1141</v>
      </c>
      <c r="B299" s="3" t="s">
        <v>26</v>
      </c>
      <c r="C299" s="3">
        <v>18</v>
      </c>
      <c r="D299" s="3">
        <v>9</v>
      </c>
      <c r="AY299" s="3" t="s">
        <v>22</v>
      </c>
      <c r="AZ299" s="3" t="s">
        <v>18</v>
      </c>
      <c r="BD299" s="3" t="s">
        <v>656</v>
      </c>
      <c r="BE299" s="3" t="s">
        <v>623</v>
      </c>
      <c r="BF299" s="3" t="s">
        <v>552</v>
      </c>
      <c r="BG299" s="3" t="s">
        <v>691</v>
      </c>
    </row>
    <row r="300" spans="1:60" x14ac:dyDescent="0.3">
      <c r="A300" s="3" t="s">
        <v>1141</v>
      </c>
      <c r="B300" s="3" t="s">
        <v>26</v>
      </c>
      <c r="C300" s="3">
        <v>14</v>
      </c>
      <c r="D300" s="3">
        <v>10</v>
      </c>
      <c r="E300" s="4">
        <v>10</v>
      </c>
      <c r="F300" s="4">
        <v>10</v>
      </c>
      <c r="K300" s="4">
        <v>10</v>
      </c>
      <c r="L300" s="4">
        <v>10</v>
      </c>
      <c r="M300" s="4">
        <v>10</v>
      </c>
      <c r="N300" s="4">
        <v>10</v>
      </c>
      <c r="O300" s="4">
        <v>10</v>
      </c>
      <c r="P300" s="4">
        <v>10</v>
      </c>
      <c r="AG300" s="4">
        <v>10</v>
      </c>
      <c r="AH300" s="4">
        <v>10</v>
      </c>
      <c r="AY300" s="3" t="s">
        <v>18</v>
      </c>
      <c r="AZ300" s="3" t="s">
        <v>18</v>
      </c>
      <c r="BD300" s="3" t="s">
        <v>618</v>
      </c>
      <c r="BE300" s="3" t="s">
        <v>619</v>
      </c>
      <c r="BF300" s="3" t="s">
        <v>692</v>
      </c>
      <c r="BG300" s="3" t="s">
        <v>222</v>
      </c>
      <c r="BH300" s="3" t="s">
        <v>28</v>
      </c>
    </row>
    <row r="301" spans="1:60" x14ac:dyDescent="0.3">
      <c r="A301" s="3" t="s">
        <v>1141</v>
      </c>
      <c r="B301" s="3" t="s">
        <v>26</v>
      </c>
      <c r="C301" s="3">
        <v>16</v>
      </c>
      <c r="D301" s="3">
        <v>8</v>
      </c>
      <c r="E301" s="4">
        <v>8</v>
      </c>
      <c r="F301" s="4">
        <v>9</v>
      </c>
      <c r="K301" s="4">
        <v>9</v>
      </c>
      <c r="L301" s="4">
        <v>9</v>
      </c>
      <c r="M301" s="4">
        <v>8</v>
      </c>
      <c r="N301" s="4">
        <v>8</v>
      </c>
      <c r="O301" s="4">
        <v>8</v>
      </c>
      <c r="P301" s="4">
        <v>8</v>
      </c>
      <c r="AG301" s="4">
        <v>9</v>
      </c>
      <c r="AH301" s="4">
        <v>10</v>
      </c>
      <c r="AY301" s="3" t="s">
        <v>18</v>
      </c>
      <c r="AZ301" s="3" t="s">
        <v>22</v>
      </c>
      <c r="BD301" s="3" t="s">
        <v>618</v>
      </c>
      <c r="BE301" s="3" t="s">
        <v>623</v>
      </c>
      <c r="BF301" s="3" t="s">
        <v>693</v>
      </c>
      <c r="BG301" s="3" t="s">
        <v>222</v>
      </c>
      <c r="BH301" s="3" t="s">
        <v>694</v>
      </c>
    </row>
    <row r="302" spans="1:60" x14ac:dyDescent="0.3">
      <c r="A302" s="3" t="s">
        <v>1141</v>
      </c>
      <c r="B302" s="3" t="s">
        <v>26</v>
      </c>
      <c r="C302" s="3">
        <v>15</v>
      </c>
      <c r="D302" s="3">
        <v>9</v>
      </c>
      <c r="E302" s="4">
        <v>10</v>
      </c>
      <c r="F302" s="4">
        <v>10</v>
      </c>
      <c r="K302" s="4">
        <v>10</v>
      </c>
      <c r="L302" s="4">
        <v>10</v>
      </c>
      <c r="M302" s="4">
        <v>8</v>
      </c>
      <c r="N302" s="4">
        <v>8</v>
      </c>
      <c r="O302" s="4">
        <v>5</v>
      </c>
      <c r="P302" s="4">
        <v>5</v>
      </c>
      <c r="AG302" s="4">
        <v>8</v>
      </c>
      <c r="AH302" s="4">
        <v>8</v>
      </c>
      <c r="AY302" s="3" t="s">
        <v>22</v>
      </c>
      <c r="AZ302" s="3" t="s">
        <v>18</v>
      </c>
      <c r="BA302" s="3" t="s">
        <v>695</v>
      </c>
      <c r="BD302" s="3" t="s">
        <v>618</v>
      </c>
      <c r="BE302" s="3" t="s">
        <v>619</v>
      </c>
      <c r="BF302" s="3" t="s">
        <v>696</v>
      </c>
      <c r="BG302" s="3" t="s">
        <v>697</v>
      </c>
      <c r="BH302" s="3" t="s">
        <v>698</v>
      </c>
    </row>
    <row r="303" spans="1:60" x14ac:dyDescent="0.3">
      <c r="A303" s="3" t="s">
        <v>1141</v>
      </c>
      <c r="B303" s="3" t="s">
        <v>26</v>
      </c>
      <c r="C303" s="3">
        <v>14</v>
      </c>
      <c r="D303" s="3">
        <v>9</v>
      </c>
      <c r="E303" s="4">
        <v>10</v>
      </c>
      <c r="F303" s="4">
        <v>10</v>
      </c>
      <c r="K303" s="4">
        <v>7</v>
      </c>
      <c r="L303" s="4">
        <v>8</v>
      </c>
      <c r="M303" s="4">
        <v>10</v>
      </c>
      <c r="N303" s="4">
        <v>10</v>
      </c>
      <c r="O303" s="4">
        <v>5</v>
      </c>
      <c r="P303" s="4">
        <v>1</v>
      </c>
      <c r="AG303" s="4">
        <v>10</v>
      </c>
      <c r="AH303" s="4">
        <v>10</v>
      </c>
      <c r="AY303" s="3" t="s">
        <v>18</v>
      </c>
      <c r="AZ303" s="3" t="s">
        <v>18</v>
      </c>
      <c r="BD303" s="3" t="s">
        <v>618</v>
      </c>
      <c r="BE303" s="3" t="s">
        <v>619</v>
      </c>
      <c r="BF303" s="3" t="s">
        <v>699</v>
      </c>
      <c r="BG303" s="3" t="s">
        <v>700</v>
      </c>
    </row>
    <row r="304" spans="1:60" x14ac:dyDescent="0.3">
      <c r="A304" s="3" t="s">
        <v>1141</v>
      </c>
      <c r="B304" s="3" t="s">
        <v>16</v>
      </c>
      <c r="C304" s="3">
        <v>15</v>
      </c>
      <c r="D304" s="3">
        <v>10</v>
      </c>
      <c r="E304" s="4">
        <v>9</v>
      </c>
      <c r="F304" s="4">
        <v>9</v>
      </c>
      <c r="K304" s="4">
        <v>10</v>
      </c>
      <c r="L304" s="4">
        <v>10</v>
      </c>
      <c r="M304" s="4">
        <v>6</v>
      </c>
      <c r="N304" s="4">
        <v>1</v>
      </c>
      <c r="O304" s="4">
        <v>6</v>
      </c>
      <c r="P304" s="4">
        <v>2</v>
      </c>
      <c r="AG304" s="4">
        <v>8</v>
      </c>
      <c r="AH304" s="4">
        <v>7</v>
      </c>
      <c r="AY304" s="3" t="s">
        <v>17</v>
      </c>
      <c r="BB304" s="3" t="s">
        <v>17</v>
      </c>
      <c r="BC304" s="3" t="s">
        <v>22</v>
      </c>
      <c r="BD304" s="3" t="s">
        <v>615</v>
      </c>
      <c r="BE304" s="3" t="s">
        <v>619</v>
      </c>
      <c r="BF304" s="3" t="s">
        <v>86</v>
      </c>
      <c r="BG304" s="3" t="s">
        <v>701</v>
      </c>
    </row>
    <row r="305" spans="1:60" x14ac:dyDescent="0.3">
      <c r="A305" s="3" t="s">
        <v>1141</v>
      </c>
      <c r="B305" s="3" t="s">
        <v>26</v>
      </c>
      <c r="C305" s="3">
        <v>14</v>
      </c>
      <c r="D305" s="3">
        <v>10</v>
      </c>
      <c r="E305" s="4">
        <v>10</v>
      </c>
      <c r="F305" s="4">
        <v>10</v>
      </c>
      <c r="K305" s="4">
        <v>5</v>
      </c>
      <c r="L305" s="4">
        <v>9</v>
      </c>
      <c r="M305" s="4">
        <v>10</v>
      </c>
      <c r="N305" s="4">
        <v>8</v>
      </c>
      <c r="O305" s="4">
        <v>10</v>
      </c>
      <c r="P305" s="4">
        <v>10</v>
      </c>
      <c r="AG305" s="4">
        <v>9</v>
      </c>
      <c r="AH305" s="4">
        <v>10</v>
      </c>
      <c r="AY305" s="3" t="s">
        <v>22</v>
      </c>
      <c r="AZ305" s="3" t="s">
        <v>22</v>
      </c>
      <c r="BD305" s="3" t="s">
        <v>618</v>
      </c>
      <c r="BE305" s="3" t="s">
        <v>623</v>
      </c>
      <c r="BF305" s="3" t="s">
        <v>702</v>
      </c>
      <c r="BG305" s="3" t="s">
        <v>703</v>
      </c>
    </row>
    <row r="306" spans="1:60" x14ac:dyDescent="0.3">
      <c r="A306" s="3" t="s">
        <v>1141</v>
      </c>
      <c r="B306" s="3" t="s">
        <v>26</v>
      </c>
      <c r="C306" s="3">
        <v>14</v>
      </c>
      <c r="D306" s="3">
        <v>9</v>
      </c>
      <c r="E306" s="4">
        <v>8</v>
      </c>
      <c r="F306" s="4">
        <v>10</v>
      </c>
      <c r="K306" s="4">
        <v>7</v>
      </c>
      <c r="L306" s="4">
        <v>8</v>
      </c>
      <c r="M306" s="4">
        <v>8</v>
      </c>
      <c r="N306" s="4">
        <v>8</v>
      </c>
      <c r="O306" s="4">
        <v>7</v>
      </c>
      <c r="P306" s="4">
        <v>7</v>
      </c>
      <c r="AG306" s="4">
        <v>9</v>
      </c>
      <c r="AH306" s="4">
        <v>8</v>
      </c>
      <c r="AY306" s="3" t="s">
        <v>18</v>
      </c>
      <c r="AZ306" s="3" t="s">
        <v>18</v>
      </c>
      <c r="BA306" s="3" t="s">
        <v>704</v>
      </c>
      <c r="BD306" s="3" t="s">
        <v>615</v>
      </c>
      <c r="BE306" s="3" t="s">
        <v>623</v>
      </c>
      <c r="BF306" s="3" t="s">
        <v>308</v>
      </c>
      <c r="BG306" s="3" t="s">
        <v>231</v>
      </c>
    </row>
    <row r="307" spans="1:60" x14ac:dyDescent="0.3">
      <c r="A307" s="3" t="s">
        <v>1141</v>
      </c>
      <c r="B307" s="3" t="s">
        <v>26</v>
      </c>
      <c r="C307" s="3">
        <v>14</v>
      </c>
      <c r="D307" s="3">
        <v>9</v>
      </c>
      <c r="E307" s="4">
        <v>9</v>
      </c>
      <c r="F307" s="4">
        <v>9</v>
      </c>
      <c r="K307" s="4">
        <v>10</v>
      </c>
      <c r="L307" s="4">
        <v>10</v>
      </c>
      <c r="M307" s="4">
        <v>7</v>
      </c>
      <c r="N307" s="4">
        <v>8</v>
      </c>
      <c r="O307" s="4">
        <v>8</v>
      </c>
      <c r="P307" s="4">
        <v>9</v>
      </c>
      <c r="AG307" s="4">
        <v>9</v>
      </c>
      <c r="AH307" s="4">
        <v>7</v>
      </c>
      <c r="AY307" s="3" t="s">
        <v>22</v>
      </c>
      <c r="AZ307" s="3" t="s">
        <v>22</v>
      </c>
      <c r="BD307" s="3" t="s">
        <v>615</v>
      </c>
      <c r="BE307" s="3" t="s">
        <v>623</v>
      </c>
      <c r="BF307" s="3" t="s">
        <v>705</v>
      </c>
      <c r="BG307" s="3" t="s">
        <v>358</v>
      </c>
    </row>
    <row r="308" spans="1:60" x14ac:dyDescent="0.3">
      <c r="A308" s="3" t="s">
        <v>1141</v>
      </c>
      <c r="B308" s="3" t="s">
        <v>16</v>
      </c>
      <c r="C308" s="3">
        <v>14</v>
      </c>
      <c r="D308" s="3">
        <v>8</v>
      </c>
      <c r="E308" s="4">
        <v>6</v>
      </c>
      <c r="F308" s="4">
        <v>6</v>
      </c>
      <c r="K308" s="4">
        <v>6</v>
      </c>
      <c r="L308" s="4">
        <v>5</v>
      </c>
      <c r="M308" s="4">
        <v>6</v>
      </c>
      <c r="N308" s="4">
        <v>7</v>
      </c>
      <c r="O308" s="4">
        <v>6</v>
      </c>
      <c r="P308" s="4">
        <v>5</v>
      </c>
      <c r="AG308" s="4">
        <v>7</v>
      </c>
      <c r="AH308" s="4">
        <v>8</v>
      </c>
      <c r="AY308" s="3" t="s">
        <v>17</v>
      </c>
      <c r="BB308" s="3" t="s">
        <v>17</v>
      </c>
      <c r="BC308" s="3" t="s">
        <v>22</v>
      </c>
      <c r="BD308" s="3" t="s">
        <v>615</v>
      </c>
      <c r="BE308" s="3" t="s">
        <v>619</v>
      </c>
      <c r="BF308" s="3" t="s">
        <v>332</v>
      </c>
      <c r="BG308" s="3" t="s">
        <v>706</v>
      </c>
    </row>
    <row r="309" spans="1:60" x14ac:dyDescent="0.3">
      <c r="A309" s="3" t="s">
        <v>1141</v>
      </c>
      <c r="B309" s="3" t="s">
        <v>16</v>
      </c>
      <c r="C309" s="3">
        <v>14</v>
      </c>
      <c r="D309" s="3">
        <v>9</v>
      </c>
      <c r="E309" s="4">
        <v>10</v>
      </c>
      <c r="F309" s="4">
        <v>10</v>
      </c>
      <c r="K309" s="4">
        <v>8</v>
      </c>
      <c r="L309" s="4">
        <v>9</v>
      </c>
      <c r="M309" s="4">
        <v>10</v>
      </c>
      <c r="N309" s="4">
        <v>9</v>
      </c>
      <c r="O309" s="4">
        <v>8</v>
      </c>
      <c r="P309" s="4">
        <v>7</v>
      </c>
      <c r="AG309" s="4">
        <v>10</v>
      </c>
      <c r="AH309" s="4">
        <v>10</v>
      </c>
      <c r="AY309" s="3" t="s">
        <v>17</v>
      </c>
      <c r="BB309" s="3" t="s">
        <v>17</v>
      </c>
      <c r="BC309" s="3" t="s">
        <v>22</v>
      </c>
      <c r="BD309" s="3" t="s">
        <v>615</v>
      </c>
      <c r="BE309" s="3" t="s">
        <v>619</v>
      </c>
      <c r="BF309" s="3" t="s">
        <v>318</v>
      </c>
      <c r="BG309" s="3" t="s">
        <v>448</v>
      </c>
    </row>
    <row r="310" spans="1:60" x14ac:dyDescent="0.3">
      <c r="A310" s="3" t="s">
        <v>1141</v>
      </c>
      <c r="B310" s="3" t="s">
        <v>16</v>
      </c>
      <c r="C310" s="3">
        <v>14</v>
      </c>
      <c r="D310" s="3">
        <v>9</v>
      </c>
      <c r="E310" s="4">
        <v>8</v>
      </c>
      <c r="F310" s="4">
        <v>8</v>
      </c>
      <c r="K310" s="4">
        <v>8</v>
      </c>
      <c r="L310" s="4">
        <v>8</v>
      </c>
      <c r="M310" s="4">
        <v>9</v>
      </c>
      <c r="N310" s="4">
        <v>9</v>
      </c>
      <c r="O310" s="4">
        <v>7</v>
      </c>
      <c r="P310" s="4">
        <v>8</v>
      </c>
      <c r="AG310" s="4">
        <v>8</v>
      </c>
      <c r="AH310" s="4">
        <v>9</v>
      </c>
      <c r="AY310" s="3" t="s">
        <v>17</v>
      </c>
      <c r="BB310" s="3" t="s">
        <v>18</v>
      </c>
      <c r="BC310" s="3" t="s">
        <v>17</v>
      </c>
      <c r="BD310" s="3" t="s">
        <v>615</v>
      </c>
      <c r="BE310" s="3" t="s">
        <v>619</v>
      </c>
      <c r="BF310" s="3" t="s">
        <v>707</v>
      </c>
      <c r="BG310" s="3" t="s">
        <v>708</v>
      </c>
      <c r="BH310" s="3" t="s">
        <v>709</v>
      </c>
    </row>
    <row r="311" spans="1:60" x14ac:dyDescent="0.3">
      <c r="A311" s="3" t="s">
        <v>1141</v>
      </c>
      <c r="B311" s="3" t="s">
        <v>26</v>
      </c>
      <c r="C311" s="3">
        <v>14</v>
      </c>
      <c r="D311" s="3">
        <v>5</v>
      </c>
      <c r="I311" s="4">
        <v>6</v>
      </c>
      <c r="J311" s="4">
        <v>5</v>
      </c>
      <c r="K311" s="4">
        <v>5</v>
      </c>
      <c r="L311" s="4">
        <v>5</v>
      </c>
      <c r="W311" s="4">
        <v>5</v>
      </c>
      <c r="X311" s="4">
        <v>6</v>
      </c>
      <c r="AE311" s="4">
        <v>5</v>
      </c>
      <c r="AF311" s="4">
        <v>5</v>
      </c>
      <c r="AY311" s="3" t="s">
        <v>17</v>
      </c>
      <c r="BB311" s="3" t="s">
        <v>17</v>
      </c>
      <c r="BC311" s="3" t="s">
        <v>22</v>
      </c>
      <c r="BD311" s="3" t="s">
        <v>618</v>
      </c>
      <c r="BE311" s="3" t="s">
        <v>616</v>
      </c>
      <c r="BF311" s="3" t="s">
        <v>161</v>
      </c>
      <c r="BG311" s="3" t="s">
        <v>710</v>
      </c>
      <c r="BH311" s="3" t="s">
        <v>35</v>
      </c>
    </row>
    <row r="312" spans="1:60" x14ac:dyDescent="0.3">
      <c r="A312" s="3" t="s">
        <v>1141</v>
      </c>
      <c r="B312" s="3" t="s">
        <v>16</v>
      </c>
      <c r="C312" s="3">
        <v>14</v>
      </c>
      <c r="D312" s="3">
        <v>10</v>
      </c>
      <c r="I312" s="4">
        <v>6</v>
      </c>
      <c r="J312" s="4">
        <v>8</v>
      </c>
      <c r="K312" s="4">
        <v>8</v>
      </c>
      <c r="L312" s="4">
        <v>8</v>
      </c>
      <c r="W312" s="4">
        <v>10</v>
      </c>
      <c r="X312" s="4">
        <v>9</v>
      </c>
      <c r="AE312" s="4">
        <v>10</v>
      </c>
      <c r="AF312" s="4">
        <v>10</v>
      </c>
      <c r="AY312" s="3" t="s">
        <v>17</v>
      </c>
      <c r="BB312" s="3" t="s">
        <v>18</v>
      </c>
      <c r="BC312" s="3" t="s">
        <v>22</v>
      </c>
      <c r="BD312" s="3" t="s">
        <v>615</v>
      </c>
      <c r="BE312" s="3" t="s">
        <v>623</v>
      </c>
      <c r="BF312" s="3" t="s">
        <v>711</v>
      </c>
      <c r="BG312" s="3" t="s">
        <v>712</v>
      </c>
      <c r="BH312" s="3" t="s">
        <v>713</v>
      </c>
    </row>
    <row r="313" spans="1:60" x14ac:dyDescent="0.3">
      <c r="A313" s="3" t="s">
        <v>1141</v>
      </c>
      <c r="B313" s="3" t="s">
        <v>26</v>
      </c>
      <c r="C313" s="3">
        <v>14</v>
      </c>
      <c r="D313" s="3">
        <v>7</v>
      </c>
      <c r="I313" s="4">
        <v>6</v>
      </c>
      <c r="J313" s="4">
        <v>4</v>
      </c>
      <c r="K313" s="4">
        <v>3</v>
      </c>
      <c r="L313" s="4">
        <v>4</v>
      </c>
      <c r="W313" s="4">
        <v>10</v>
      </c>
      <c r="X313" s="4">
        <v>10</v>
      </c>
      <c r="AE313" s="4">
        <v>9</v>
      </c>
      <c r="AF313" s="4">
        <v>8</v>
      </c>
      <c r="AY313" s="3" t="s">
        <v>18</v>
      </c>
      <c r="AZ313" s="3" t="s">
        <v>18</v>
      </c>
      <c r="BD313" s="3" t="s">
        <v>615</v>
      </c>
      <c r="BE313" s="3" t="s">
        <v>623</v>
      </c>
      <c r="BF313" s="3" t="s">
        <v>714</v>
      </c>
      <c r="BG313" s="3" t="s">
        <v>715</v>
      </c>
      <c r="BH313" s="3" t="s">
        <v>716</v>
      </c>
    </row>
    <row r="314" spans="1:60" x14ac:dyDescent="0.3">
      <c r="A314" s="3" t="s">
        <v>1141</v>
      </c>
      <c r="B314" s="3" t="s">
        <v>26</v>
      </c>
      <c r="C314" s="3">
        <v>15</v>
      </c>
      <c r="D314" s="3">
        <v>10</v>
      </c>
      <c r="I314" s="4">
        <v>3</v>
      </c>
      <c r="J314" s="4">
        <v>3</v>
      </c>
      <c r="K314" s="4">
        <v>10</v>
      </c>
      <c r="L314" s="4">
        <v>10</v>
      </c>
      <c r="W314" s="4">
        <v>10</v>
      </c>
      <c r="X314" s="4">
        <v>10</v>
      </c>
      <c r="AE314" s="4">
        <v>8</v>
      </c>
      <c r="AF314" s="4">
        <v>8</v>
      </c>
      <c r="AY314" s="3" t="s">
        <v>18</v>
      </c>
      <c r="AZ314" s="3" t="s">
        <v>17</v>
      </c>
      <c r="BA314" s="3" t="s">
        <v>717</v>
      </c>
      <c r="BD314" s="3" t="s">
        <v>618</v>
      </c>
      <c r="BE314" s="3" t="s">
        <v>619</v>
      </c>
      <c r="BF314" s="3" t="s">
        <v>718</v>
      </c>
      <c r="BG314" s="3" t="s">
        <v>231</v>
      </c>
      <c r="BH314" s="3" t="s">
        <v>719</v>
      </c>
    </row>
    <row r="315" spans="1:60" x14ac:dyDescent="0.3">
      <c r="A315" s="3" t="s">
        <v>1141</v>
      </c>
      <c r="B315" s="3" t="s">
        <v>26</v>
      </c>
      <c r="C315" s="3">
        <v>14</v>
      </c>
      <c r="D315" s="3">
        <v>8</v>
      </c>
      <c r="I315" s="4">
        <v>9</v>
      </c>
      <c r="J315" s="4">
        <v>10</v>
      </c>
      <c r="K315" s="4">
        <v>10</v>
      </c>
      <c r="L315" s="4">
        <v>10</v>
      </c>
      <c r="W315" s="4">
        <v>9</v>
      </c>
      <c r="X315" s="4">
        <v>10</v>
      </c>
      <c r="AE315" s="4">
        <v>9</v>
      </c>
      <c r="AF315" s="4">
        <v>8</v>
      </c>
      <c r="AY315" s="3" t="s">
        <v>18</v>
      </c>
      <c r="AZ315" s="3" t="s">
        <v>18</v>
      </c>
      <c r="BD315" s="3" t="s">
        <v>615</v>
      </c>
      <c r="BE315" s="3" t="s">
        <v>619</v>
      </c>
      <c r="BF315" s="3" t="s">
        <v>720</v>
      </c>
      <c r="BG315" s="3" t="s">
        <v>448</v>
      </c>
      <c r="BH315" s="3" t="s">
        <v>247</v>
      </c>
    </row>
    <row r="316" spans="1:60" x14ac:dyDescent="0.3">
      <c r="A316" s="3" t="s">
        <v>1141</v>
      </c>
      <c r="B316" s="3" t="s">
        <v>26</v>
      </c>
      <c r="C316" s="3">
        <v>15</v>
      </c>
      <c r="D316" s="3">
        <v>10</v>
      </c>
      <c r="I316" s="4">
        <v>9</v>
      </c>
      <c r="J316" s="4">
        <v>7</v>
      </c>
      <c r="K316" s="4">
        <v>5</v>
      </c>
      <c r="L316" s="4">
        <v>10</v>
      </c>
      <c r="W316" s="4">
        <v>8</v>
      </c>
      <c r="X316" s="4">
        <v>8</v>
      </c>
      <c r="AE316" s="4">
        <v>9</v>
      </c>
      <c r="AF316" s="4">
        <v>10</v>
      </c>
      <c r="AY316" s="3" t="s">
        <v>18</v>
      </c>
      <c r="AZ316" s="3" t="s">
        <v>18</v>
      </c>
      <c r="BD316" s="3" t="s">
        <v>618</v>
      </c>
      <c r="BE316" s="3" t="s">
        <v>623</v>
      </c>
      <c r="BF316" s="3" t="s">
        <v>721</v>
      </c>
      <c r="BG316" s="3" t="s">
        <v>722</v>
      </c>
    </row>
    <row r="317" spans="1:60" x14ac:dyDescent="0.3">
      <c r="A317" s="3" t="s">
        <v>1141</v>
      </c>
      <c r="B317" s="3" t="s">
        <v>16</v>
      </c>
      <c r="C317" s="3">
        <v>14</v>
      </c>
      <c r="D317" s="3">
        <v>8</v>
      </c>
      <c r="I317" s="4">
        <v>7</v>
      </c>
      <c r="J317" s="4">
        <v>5</v>
      </c>
      <c r="K317" s="4">
        <v>7</v>
      </c>
      <c r="L317" s="4">
        <v>7</v>
      </c>
      <c r="W317" s="4">
        <v>10</v>
      </c>
      <c r="X317" s="4">
        <v>10</v>
      </c>
      <c r="AE317" s="4">
        <v>10</v>
      </c>
      <c r="AF317" s="4">
        <v>10</v>
      </c>
      <c r="AY317" s="3" t="s">
        <v>18</v>
      </c>
      <c r="AZ317" s="3" t="s">
        <v>18</v>
      </c>
      <c r="BA317" s="3" t="s">
        <v>723</v>
      </c>
      <c r="BD317" s="3" t="s">
        <v>615</v>
      </c>
      <c r="BE317" s="3" t="s">
        <v>623</v>
      </c>
      <c r="BF317" s="3" t="s">
        <v>86</v>
      </c>
      <c r="BG317" s="3" t="s">
        <v>724</v>
      </c>
    </row>
    <row r="318" spans="1:60" x14ac:dyDescent="0.3">
      <c r="A318" s="3" t="s">
        <v>1141</v>
      </c>
      <c r="B318" s="3" t="s">
        <v>26</v>
      </c>
      <c r="C318" s="3">
        <v>15</v>
      </c>
      <c r="D318" s="3">
        <v>9</v>
      </c>
      <c r="I318" s="4">
        <v>5</v>
      </c>
      <c r="J318" s="4">
        <v>5</v>
      </c>
      <c r="K318" s="4">
        <v>10</v>
      </c>
      <c r="L318" s="4">
        <v>10</v>
      </c>
      <c r="W318" s="4">
        <v>6</v>
      </c>
      <c r="X318" s="4">
        <v>6</v>
      </c>
      <c r="AE318" s="4">
        <v>7</v>
      </c>
      <c r="AF318" s="4">
        <v>6</v>
      </c>
      <c r="AY318" s="3" t="s">
        <v>18</v>
      </c>
      <c r="AZ318" s="3" t="s">
        <v>18</v>
      </c>
      <c r="BD318" s="3" t="s">
        <v>618</v>
      </c>
      <c r="BE318" s="3" t="s">
        <v>619</v>
      </c>
      <c r="BF318" s="3" t="s">
        <v>725</v>
      </c>
      <c r="BG318" s="3" t="s">
        <v>726</v>
      </c>
    </row>
    <row r="319" spans="1:60" x14ac:dyDescent="0.3">
      <c r="A319" s="3" t="s">
        <v>1141</v>
      </c>
      <c r="B319" s="3" t="s">
        <v>16</v>
      </c>
      <c r="C319" s="3">
        <v>14</v>
      </c>
      <c r="D319" s="3">
        <v>10</v>
      </c>
      <c r="I319" s="4">
        <v>7</v>
      </c>
      <c r="J319" s="4">
        <v>5</v>
      </c>
      <c r="K319" s="4">
        <v>10</v>
      </c>
      <c r="L319" s="4">
        <v>10</v>
      </c>
      <c r="W319" s="4">
        <v>8</v>
      </c>
      <c r="X319" s="4">
        <v>8</v>
      </c>
      <c r="AE319" s="4">
        <v>8</v>
      </c>
      <c r="AF319" s="4">
        <v>10</v>
      </c>
      <c r="AY319" s="3" t="s">
        <v>17</v>
      </c>
      <c r="BB319" s="3" t="s">
        <v>18</v>
      </c>
      <c r="BC319" s="3" t="s">
        <v>18</v>
      </c>
      <c r="BD319" s="3" t="s">
        <v>618</v>
      </c>
      <c r="BE319" s="3" t="s">
        <v>619</v>
      </c>
      <c r="BF319" s="3" t="s">
        <v>727</v>
      </c>
      <c r="BG319" s="3" t="s">
        <v>358</v>
      </c>
      <c r="BH319" s="3" t="s">
        <v>728</v>
      </c>
    </row>
    <row r="320" spans="1:60" x14ac:dyDescent="0.3">
      <c r="A320" s="3" t="s">
        <v>1141</v>
      </c>
      <c r="B320" s="3" t="s">
        <v>26</v>
      </c>
      <c r="C320" s="3">
        <v>14</v>
      </c>
      <c r="D320" s="3">
        <v>9</v>
      </c>
      <c r="I320" s="4">
        <v>5</v>
      </c>
      <c r="J320" s="4">
        <v>8</v>
      </c>
      <c r="K320" s="4">
        <v>8</v>
      </c>
      <c r="L320" s="4">
        <v>10</v>
      </c>
      <c r="W320" s="4">
        <v>10</v>
      </c>
      <c r="X320" s="4">
        <v>9</v>
      </c>
      <c r="AE320" s="4">
        <v>10</v>
      </c>
      <c r="AF320" s="4">
        <v>8</v>
      </c>
      <c r="AY320" s="3" t="s">
        <v>18</v>
      </c>
      <c r="AZ320" s="3" t="s">
        <v>22</v>
      </c>
      <c r="BD320" s="3" t="s">
        <v>618</v>
      </c>
      <c r="BE320" s="3" t="s">
        <v>623</v>
      </c>
      <c r="BF320" s="3" t="s">
        <v>729</v>
      </c>
      <c r="BG320" s="3" t="s">
        <v>730</v>
      </c>
      <c r="BH320" s="3" t="s">
        <v>731</v>
      </c>
    </row>
    <row r="321" spans="1:60" x14ac:dyDescent="0.3">
      <c r="A321" s="3" t="s">
        <v>1141</v>
      </c>
      <c r="B321" s="3" t="s">
        <v>16</v>
      </c>
      <c r="C321" s="3">
        <v>14</v>
      </c>
      <c r="D321" s="3">
        <v>8</v>
      </c>
      <c r="I321" s="4">
        <v>5</v>
      </c>
      <c r="J321" s="4">
        <v>4</v>
      </c>
      <c r="K321" s="4">
        <v>6</v>
      </c>
      <c r="L321" s="4">
        <v>4</v>
      </c>
      <c r="W321" s="4">
        <v>9</v>
      </c>
      <c r="X321" s="4">
        <v>8</v>
      </c>
      <c r="AE321" s="4">
        <v>7</v>
      </c>
      <c r="AF321" s="4">
        <v>9</v>
      </c>
      <c r="AY321" s="3" t="s">
        <v>17</v>
      </c>
      <c r="BB321" s="3" t="s">
        <v>17</v>
      </c>
      <c r="BC321" s="3" t="s">
        <v>22</v>
      </c>
      <c r="BD321" s="3" t="s">
        <v>615</v>
      </c>
      <c r="BE321" s="3" t="s">
        <v>619</v>
      </c>
      <c r="BF321" s="3" t="s">
        <v>732</v>
      </c>
      <c r="BG321" s="3" t="s">
        <v>733</v>
      </c>
    </row>
    <row r="322" spans="1:60" x14ac:dyDescent="0.3">
      <c r="A322" s="3" t="s">
        <v>1141</v>
      </c>
      <c r="B322" s="3" t="s">
        <v>16</v>
      </c>
      <c r="C322" s="3">
        <v>14</v>
      </c>
      <c r="D322" s="3">
        <v>8</v>
      </c>
      <c r="I322" s="4">
        <v>5</v>
      </c>
      <c r="J322" s="4">
        <v>5</v>
      </c>
      <c r="K322" s="4">
        <v>6</v>
      </c>
      <c r="L322" s="4">
        <v>4</v>
      </c>
      <c r="W322" s="4">
        <v>9</v>
      </c>
      <c r="X322" s="4">
        <v>8</v>
      </c>
      <c r="AE322" s="4">
        <v>7</v>
      </c>
      <c r="AF322" s="4">
        <v>9</v>
      </c>
      <c r="AY322" s="3" t="s">
        <v>17</v>
      </c>
      <c r="BB322" s="3" t="s">
        <v>17</v>
      </c>
      <c r="BC322" s="3" t="s">
        <v>22</v>
      </c>
      <c r="BD322" s="3" t="s">
        <v>615</v>
      </c>
      <c r="BE322" s="3" t="s">
        <v>619</v>
      </c>
      <c r="BF322" s="3" t="s">
        <v>734</v>
      </c>
      <c r="BG322" s="3" t="s">
        <v>735</v>
      </c>
    </row>
    <row r="323" spans="1:60" x14ac:dyDescent="0.3">
      <c r="A323" s="3" t="s">
        <v>1141</v>
      </c>
      <c r="B323" s="3" t="s">
        <v>16</v>
      </c>
      <c r="C323" s="3">
        <v>14</v>
      </c>
      <c r="D323" s="3">
        <v>9</v>
      </c>
      <c r="I323" s="4">
        <v>5</v>
      </c>
      <c r="J323" s="4">
        <v>10</v>
      </c>
      <c r="K323" s="4">
        <v>3</v>
      </c>
      <c r="L323" s="4">
        <v>1</v>
      </c>
      <c r="W323" s="4">
        <v>10</v>
      </c>
      <c r="X323" s="4">
        <v>10</v>
      </c>
      <c r="AE323" s="4">
        <v>10</v>
      </c>
      <c r="AF323" s="4">
        <v>10</v>
      </c>
      <c r="AY323" s="3" t="s">
        <v>22</v>
      </c>
      <c r="AZ323" s="3" t="s">
        <v>17</v>
      </c>
      <c r="BA323" s="3" t="s">
        <v>736</v>
      </c>
      <c r="BD323" s="3" t="s">
        <v>618</v>
      </c>
      <c r="BE323" s="3" t="s">
        <v>619</v>
      </c>
      <c r="BF323" s="3" t="s">
        <v>737</v>
      </c>
      <c r="BG323" s="3" t="s">
        <v>738</v>
      </c>
      <c r="BH323" s="3" t="s">
        <v>739</v>
      </c>
    </row>
    <row r="324" spans="1:60" x14ac:dyDescent="0.3">
      <c r="A324" s="3" t="s">
        <v>1141</v>
      </c>
      <c r="B324" s="3" t="s">
        <v>26</v>
      </c>
      <c r="C324" s="3">
        <v>14</v>
      </c>
      <c r="D324" s="3">
        <v>8</v>
      </c>
      <c r="I324" s="4">
        <v>5</v>
      </c>
      <c r="J324" s="4">
        <v>5</v>
      </c>
      <c r="K324" s="4">
        <v>9</v>
      </c>
      <c r="L324" s="4">
        <v>8</v>
      </c>
      <c r="W324" s="4">
        <v>10</v>
      </c>
      <c r="X324" s="4">
        <v>9</v>
      </c>
      <c r="AE324" s="4">
        <v>10</v>
      </c>
      <c r="AF324" s="4">
        <v>9</v>
      </c>
      <c r="AY324" s="3" t="s">
        <v>18</v>
      </c>
      <c r="AZ324" s="3" t="s">
        <v>18</v>
      </c>
      <c r="BD324" s="3" t="s">
        <v>615</v>
      </c>
      <c r="BE324" s="3" t="s">
        <v>623</v>
      </c>
      <c r="BF324" s="3" t="s">
        <v>332</v>
      </c>
      <c r="BG324" s="3" t="s">
        <v>740</v>
      </c>
    </row>
    <row r="325" spans="1:60" x14ac:dyDescent="0.3">
      <c r="A325" s="3" t="s">
        <v>1141</v>
      </c>
      <c r="B325" s="3" t="s">
        <v>26</v>
      </c>
      <c r="C325" s="3">
        <v>15</v>
      </c>
      <c r="D325" s="3">
        <v>9</v>
      </c>
      <c r="I325" s="4">
        <v>8</v>
      </c>
      <c r="J325" s="4">
        <v>7</v>
      </c>
      <c r="K325" s="4">
        <v>10</v>
      </c>
      <c r="L325" s="4">
        <v>9</v>
      </c>
      <c r="W325" s="4">
        <v>10</v>
      </c>
      <c r="X325" s="4">
        <v>10</v>
      </c>
      <c r="AE325" s="4">
        <v>10</v>
      </c>
      <c r="AF325" s="4">
        <v>9</v>
      </c>
      <c r="AY325" s="3" t="s">
        <v>17</v>
      </c>
      <c r="BB325" s="3" t="s">
        <v>22</v>
      </c>
      <c r="BC325" s="3" t="s">
        <v>22</v>
      </c>
      <c r="BD325" s="3" t="s">
        <v>615</v>
      </c>
      <c r="BE325" s="3" t="s">
        <v>623</v>
      </c>
      <c r="BF325" s="3" t="s">
        <v>741</v>
      </c>
      <c r="BG325" s="3" t="s">
        <v>742</v>
      </c>
      <c r="BH325" s="3" t="s">
        <v>743</v>
      </c>
    </row>
    <row r="326" spans="1:60" x14ac:dyDescent="0.3">
      <c r="A326" s="3" t="s">
        <v>1141</v>
      </c>
      <c r="B326" s="3" t="s">
        <v>16</v>
      </c>
      <c r="C326" s="3">
        <v>14</v>
      </c>
      <c r="D326" s="3">
        <v>9</v>
      </c>
      <c r="I326" s="4">
        <v>6</v>
      </c>
      <c r="J326" s="4">
        <v>7</v>
      </c>
      <c r="K326" s="4">
        <v>8</v>
      </c>
      <c r="L326" s="4">
        <v>8</v>
      </c>
      <c r="W326" s="4">
        <v>10</v>
      </c>
      <c r="X326" s="4">
        <v>8</v>
      </c>
      <c r="AE326" s="4">
        <v>10</v>
      </c>
      <c r="AF326" s="4">
        <v>10</v>
      </c>
      <c r="AY326" s="3" t="s">
        <v>17</v>
      </c>
      <c r="BB326" s="3" t="s">
        <v>18</v>
      </c>
      <c r="BC326" s="3" t="s">
        <v>22</v>
      </c>
      <c r="BD326" s="3" t="s">
        <v>615</v>
      </c>
      <c r="BE326" s="3" t="s">
        <v>619</v>
      </c>
      <c r="BF326" s="3" t="s">
        <v>332</v>
      </c>
      <c r="BG326" s="3" t="s">
        <v>724</v>
      </c>
      <c r="BH326" s="3" t="s">
        <v>744</v>
      </c>
    </row>
    <row r="327" spans="1:60" x14ac:dyDescent="0.3">
      <c r="A327" s="3" t="s">
        <v>1141</v>
      </c>
      <c r="B327" s="3" t="s">
        <v>16</v>
      </c>
      <c r="C327" s="3">
        <v>14</v>
      </c>
      <c r="D327" s="3">
        <v>10</v>
      </c>
      <c r="K327" s="4">
        <v>7</v>
      </c>
      <c r="L327" s="4">
        <v>9</v>
      </c>
      <c r="Q327" s="4">
        <v>6</v>
      </c>
      <c r="R327" s="4">
        <v>8</v>
      </c>
      <c r="W327" s="4">
        <v>7</v>
      </c>
      <c r="X327" s="4">
        <v>6</v>
      </c>
      <c r="AE327" s="4">
        <v>7</v>
      </c>
      <c r="AF327" s="4">
        <v>9</v>
      </c>
      <c r="AY327" s="3" t="s">
        <v>17</v>
      </c>
      <c r="BB327" s="3" t="s">
        <v>17</v>
      </c>
      <c r="BC327" s="3" t="s">
        <v>22</v>
      </c>
      <c r="BD327" s="3" t="s">
        <v>615</v>
      </c>
      <c r="BE327" s="3" t="s">
        <v>619</v>
      </c>
      <c r="BF327" s="3" t="s">
        <v>745</v>
      </c>
      <c r="BG327" s="3" t="s">
        <v>28</v>
      </c>
      <c r="BH327" s="3" t="s">
        <v>113</v>
      </c>
    </row>
    <row r="328" spans="1:60" x14ac:dyDescent="0.3">
      <c r="A328" s="3" t="s">
        <v>1141</v>
      </c>
      <c r="B328" s="3" t="s">
        <v>26</v>
      </c>
      <c r="C328" s="3">
        <v>14</v>
      </c>
      <c r="D328" s="3">
        <v>9</v>
      </c>
      <c r="K328" s="4">
        <v>10</v>
      </c>
      <c r="L328" s="4">
        <v>9</v>
      </c>
      <c r="Q328" s="4">
        <v>10</v>
      </c>
      <c r="R328" s="4">
        <v>9</v>
      </c>
      <c r="W328" s="4">
        <v>10</v>
      </c>
      <c r="X328" s="4">
        <v>9</v>
      </c>
      <c r="AE328" s="4">
        <v>10</v>
      </c>
      <c r="AF328" s="4">
        <v>9</v>
      </c>
      <c r="AY328" s="3" t="s">
        <v>18</v>
      </c>
      <c r="AZ328" s="3" t="s">
        <v>18</v>
      </c>
      <c r="BD328" s="3" t="s">
        <v>615</v>
      </c>
      <c r="BE328" s="3" t="s">
        <v>623</v>
      </c>
      <c r="BF328" s="3" t="s">
        <v>308</v>
      </c>
      <c r="BG328" s="3" t="s">
        <v>137</v>
      </c>
      <c r="BH328" s="3" t="s">
        <v>746</v>
      </c>
    </row>
    <row r="329" spans="1:60" x14ac:dyDescent="0.3">
      <c r="A329" s="3" t="s">
        <v>1141</v>
      </c>
      <c r="B329" s="3" t="s">
        <v>16</v>
      </c>
      <c r="C329" s="3">
        <v>15</v>
      </c>
      <c r="D329" s="3">
        <v>8</v>
      </c>
      <c r="K329" s="4">
        <v>7</v>
      </c>
      <c r="L329" s="4">
        <v>6</v>
      </c>
      <c r="Q329" s="4">
        <v>7</v>
      </c>
      <c r="R329" s="4">
        <v>6</v>
      </c>
      <c r="W329" s="4">
        <v>7</v>
      </c>
      <c r="X329" s="4">
        <v>6</v>
      </c>
      <c r="AE329" s="4">
        <v>8</v>
      </c>
      <c r="AF329" s="4">
        <v>7</v>
      </c>
      <c r="AY329" s="3" t="s">
        <v>17</v>
      </c>
      <c r="BB329" s="3" t="s">
        <v>17</v>
      </c>
      <c r="BC329" s="3" t="s">
        <v>18</v>
      </c>
      <c r="BD329" s="3" t="s">
        <v>615</v>
      </c>
      <c r="BE329" s="3" t="s">
        <v>619</v>
      </c>
      <c r="BF329" s="3" t="s">
        <v>747</v>
      </c>
      <c r="BG329" s="3" t="s">
        <v>748</v>
      </c>
      <c r="BH329" s="3" t="s">
        <v>24</v>
      </c>
    </row>
    <row r="330" spans="1:60" x14ac:dyDescent="0.3">
      <c r="A330" s="3" t="s">
        <v>1141</v>
      </c>
      <c r="B330" s="3" t="s">
        <v>16</v>
      </c>
      <c r="C330" s="3">
        <v>14</v>
      </c>
      <c r="D330" s="3">
        <v>10</v>
      </c>
      <c r="K330" s="4">
        <v>9</v>
      </c>
      <c r="L330" s="4">
        <v>9</v>
      </c>
      <c r="Q330" s="4">
        <v>7</v>
      </c>
      <c r="R330" s="4">
        <v>7</v>
      </c>
      <c r="W330" s="4">
        <v>10</v>
      </c>
      <c r="X330" s="4">
        <v>10</v>
      </c>
      <c r="AE330" s="4">
        <v>10</v>
      </c>
      <c r="AF330" s="4">
        <v>10</v>
      </c>
      <c r="AY330" s="3" t="s">
        <v>17</v>
      </c>
      <c r="BB330" s="3" t="s">
        <v>18</v>
      </c>
      <c r="BC330" s="3" t="s">
        <v>22</v>
      </c>
      <c r="BD330" s="3" t="s">
        <v>615</v>
      </c>
      <c r="BE330" s="3" t="s">
        <v>619</v>
      </c>
      <c r="BF330" s="3" t="s">
        <v>749</v>
      </c>
      <c r="BG330" s="3" t="s">
        <v>750</v>
      </c>
    </row>
    <row r="331" spans="1:60" x14ac:dyDescent="0.3">
      <c r="A331" s="3" t="s">
        <v>1141</v>
      </c>
      <c r="B331" s="3" t="s">
        <v>16</v>
      </c>
      <c r="C331" s="3">
        <v>14</v>
      </c>
      <c r="D331" s="3">
        <v>10</v>
      </c>
      <c r="K331" s="4">
        <v>9</v>
      </c>
      <c r="L331" s="4">
        <v>9</v>
      </c>
      <c r="Q331" s="4">
        <v>9</v>
      </c>
      <c r="R331" s="4">
        <v>9</v>
      </c>
      <c r="W331" s="4">
        <v>9</v>
      </c>
      <c r="X331" s="4">
        <v>9</v>
      </c>
      <c r="AE331" s="4">
        <v>10</v>
      </c>
      <c r="AF331" s="4">
        <v>10</v>
      </c>
      <c r="AY331" s="3" t="s">
        <v>17</v>
      </c>
      <c r="BB331" s="3" t="s">
        <v>18</v>
      </c>
      <c r="BC331" s="3" t="s">
        <v>22</v>
      </c>
      <c r="BD331" s="3" t="s">
        <v>615</v>
      </c>
      <c r="BE331" s="3" t="s">
        <v>623</v>
      </c>
      <c r="BF331" s="3" t="s">
        <v>751</v>
      </c>
      <c r="BG331" s="3" t="s">
        <v>752</v>
      </c>
    </row>
    <row r="332" spans="1:60" x14ac:dyDescent="0.3">
      <c r="A332" s="3" t="s">
        <v>1141</v>
      </c>
      <c r="B332" s="3" t="s">
        <v>26</v>
      </c>
      <c r="C332" s="3">
        <v>14</v>
      </c>
      <c r="D332" s="3">
        <v>5</v>
      </c>
      <c r="K332" s="4">
        <v>6</v>
      </c>
      <c r="L332" s="4">
        <v>6</v>
      </c>
      <c r="Q332" s="4">
        <v>2</v>
      </c>
      <c r="R332" s="4">
        <v>1</v>
      </c>
      <c r="W332" s="4">
        <v>5</v>
      </c>
      <c r="X332" s="4">
        <v>6</v>
      </c>
      <c r="AE332" s="4">
        <v>7</v>
      </c>
      <c r="AF332" s="4">
        <v>4</v>
      </c>
      <c r="AY332" s="3" t="s">
        <v>18</v>
      </c>
      <c r="AZ332" s="3" t="s">
        <v>17</v>
      </c>
      <c r="BA332" s="3" t="s">
        <v>753</v>
      </c>
      <c r="BD332" s="3" t="s">
        <v>618</v>
      </c>
      <c r="BE332" s="3" t="s">
        <v>619</v>
      </c>
      <c r="BF332" s="3" t="s">
        <v>754</v>
      </c>
      <c r="BG332" s="3" t="s">
        <v>755</v>
      </c>
      <c r="BH332" s="3" t="s">
        <v>146</v>
      </c>
    </row>
    <row r="333" spans="1:60" x14ac:dyDescent="0.3">
      <c r="A333" s="3" t="s">
        <v>1141</v>
      </c>
      <c r="B333" s="3" t="s">
        <v>26</v>
      </c>
      <c r="C333" s="3">
        <v>14</v>
      </c>
      <c r="D333" s="3">
        <v>7</v>
      </c>
      <c r="K333" s="4">
        <v>9</v>
      </c>
      <c r="L333" s="4">
        <v>6</v>
      </c>
      <c r="Q333" s="4">
        <v>5</v>
      </c>
      <c r="R333" s="4">
        <v>4</v>
      </c>
      <c r="W333" s="4">
        <v>8</v>
      </c>
      <c r="X333" s="4">
        <v>8</v>
      </c>
      <c r="AE333" s="4">
        <v>7</v>
      </c>
      <c r="AF333" s="4">
        <v>10</v>
      </c>
      <c r="AY333" s="3" t="s">
        <v>17</v>
      </c>
      <c r="BB333" s="3" t="s">
        <v>17</v>
      </c>
      <c r="BC333" s="3" t="s">
        <v>18</v>
      </c>
      <c r="BD333" s="3" t="s">
        <v>615</v>
      </c>
      <c r="BE333" s="3" t="s">
        <v>619</v>
      </c>
      <c r="BF333" s="3" t="s">
        <v>498</v>
      </c>
      <c r="BG333" s="3" t="s">
        <v>756</v>
      </c>
      <c r="BH333" s="3" t="s">
        <v>757</v>
      </c>
    </row>
    <row r="334" spans="1:60" x14ac:dyDescent="0.3">
      <c r="A334" s="3" t="s">
        <v>1141</v>
      </c>
      <c r="B334" s="3" t="s">
        <v>26</v>
      </c>
      <c r="C334" s="3">
        <v>14</v>
      </c>
      <c r="D334" s="3">
        <v>10</v>
      </c>
      <c r="K334" s="4">
        <v>10</v>
      </c>
      <c r="L334" s="4">
        <v>3</v>
      </c>
      <c r="Q334" s="4">
        <v>10</v>
      </c>
      <c r="R334" s="4">
        <v>6</v>
      </c>
      <c r="W334" s="4">
        <v>10</v>
      </c>
      <c r="X334" s="4">
        <v>8</v>
      </c>
      <c r="AE334" s="4">
        <v>10</v>
      </c>
      <c r="AF334" s="4">
        <v>9</v>
      </c>
      <c r="AY334" s="3" t="s">
        <v>17</v>
      </c>
      <c r="BB334" s="3" t="s">
        <v>18</v>
      </c>
      <c r="BC334" s="3" t="s">
        <v>22</v>
      </c>
      <c r="BD334" s="3" t="s">
        <v>615</v>
      </c>
      <c r="BE334" s="3" t="s">
        <v>623</v>
      </c>
      <c r="BF334" s="3" t="s">
        <v>758</v>
      </c>
      <c r="BG334" s="3" t="s">
        <v>759</v>
      </c>
      <c r="BH334" s="3" t="s">
        <v>247</v>
      </c>
    </row>
    <row r="335" spans="1:60" x14ac:dyDescent="0.3">
      <c r="A335" s="3" t="s">
        <v>1141</v>
      </c>
      <c r="B335" s="3" t="s">
        <v>16</v>
      </c>
      <c r="C335" s="3">
        <v>14</v>
      </c>
      <c r="D335" s="3">
        <v>10</v>
      </c>
      <c r="K335" s="4">
        <v>3</v>
      </c>
      <c r="L335" s="4">
        <v>6</v>
      </c>
      <c r="Q335" s="4">
        <v>7</v>
      </c>
      <c r="R335" s="4">
        <v>8</v>
      </c>
      <c r="W335" s="4">
        <v>10</v>
      </c>
      <c r="X335" s="4">
        <v>10</v>
      </c>
      <c r="AE335" s="4">
        <v>10</v>
      </c>
      <c r="AF335" s="4">
        <v>9</v>
      </c>
      <c r="AY335" s="3" t="s">
        <v>17</v>
      </c>
      <c r="BB335" s="3" t="s">
        <v>17</v>
      </c>
      <c r="BC335" s="3" t="s">
        <v>22</v>
      </c>
      <c r="BD335" s="3" t="s">
        <v>615</v>
      </c>
      <c r="BE335" s="3" t="s">
        <v>619</v>
      </c>
      <c r="BF335" s="3" t="s">
        <v>749</v>
      </c>
      <c r="BG335" s="3" t="s">
        <v>760</v>
      </c>
      <c r="BH335" s="3" t="s">
        <v>761</v>
      </c>
    </row>
    <row r="336" spans="1:60" x14ac:dyDescent="0.3">
      <c r="A336" s="3" t="s">
        <v>1141</v>
      </c>
      <c r="B336" s="3" t="s">
        <v>16</v>
      </c>
      <c r="C336" s="3">
        <v>15</v>
      </c>
      <c r="D336" s="3">
        <v>10</v>
      </c>
      <c r="K336" s="4">
        <v>8</v>
      </c>
      <c r="L336" s="4">
        <v>5</v>
      </c>
      <c r="Q336" s="4">
        <v>9</v>
      </c>
      <c r="R336" s="4">
        <v>8</v>
      </c>
      <c r="W336" s="4">
        <v>9</v>
      </c>
      <c r="X336" s="4">
        <v>8</v>
      </c>
      <c r="AE336" s="4">
        <v>8</v>
      </c>
      <c r="AF336" s="4">
        <v>3</v>
      </c>
      <c r="AY336" s="3" t="s">
        <v>17</v>
      </c>
      <c r="BB336" s="3" t="s">
        <v>17</v>
      </c>
      <c r="BC336" s="3" t="s">
        <v>22</v>
      </c>
      <c r="BD336" s="3" t="s">
        <v>615</v>
      </c>
      <c r="BE336" s="3" t="s">
        <v>619</v>
      </c>
      <c r="BF336" s="3" t="s">
        <v>32</v>
      </c>
      <c r="BG336" s="3" t="s">
        <v>762</v>
      </c>
    </row>
    <row r="337" spans="1:60" x14ac:dyDescent="0.3">
      <c r="A337" s="3" t="s">
        <v>1141</v>
      </c>
      <c r="B337" s="3" t="s">
        <v>16</v>
      </c>
      <c r="C337" s="3">
        <v>14</v>
      </c>
      <c r="D337" s="3">
        <v>9</v>
      </c>
      <c r="K337" s="4">
        <v>7</v>
      </c>
      <c r="L337" s="4">
        <v>7</v>
      </c>
      <c r="Q337" s="4">
        <v>5</v>
      </c>
      <c r="R337" s="4">
        <v>6</v>
      </c>
      <c r="W337" s="4">
        <v>10</v>
      </c>
      <c r="X337" s="4">
        <v>10</v>
      </c>
      <c r="AE337" s="4">
        <v>9</v>
      </c>
      <c r="AF337" s="4">
        <v>9</v>
      </c>
      <c r="AY337" s="3" t="s">
        <v>17</v>
      </c>
      <c r="BB337" s="3" t="s">
        <v>17</v>
      </c>
      <c r="BC337" s="3" t="s">
        <v>22</v>
      </c>
      <c r="BD337" s="3" t="s">
        <v>615</v>
      </c>
      <c r="BE337" s="3" t="s">
        <v>619</v>
      </c>
      <c r="BF337" s="3" t="s">
        <v>763</v>
      </c>
      <c r="BG337" s="3" t="s">
        <v>764</v>
      </c>
      <c r="BH337" s="3" t="s">
        <v>765</v>
      </c>
    </row>
    <row r="338" spans="1:60" x14ac:dyDescent="0.3">
      <c r="A338" s="3" t="s">
        <v>1141</v>
      </c>
      <c r="B338" s="3" t="s">
        <v>26</v>
      </c>
      <c r="C338" s="3">
        <v>14</v>
      </c>
      <c r="D338" s="3">
        <v>8</v>
      </c>
      <c r="K338" s="4">
        <v>10</v>
      </c>
      <c r="L338" s="4">
        <v>10</v>
      </c>
      <c r="Q338" s="4">
        <v>7</v>
      </c>
      <c r="R338" s="4">
        <v>7</v>
      </c>
      <c r="W338" s="4">
        <v>6</v>
      </c>
      <c r="X338" s="4">
        <v>6</v>
      </c>
      <c r="AE338" s="4">
        <v>7</v>
      </c>
      <c r="AF338" s="4">
        <v>6</v>
      </c>
      <c r="AY338" s="3" t="s">
        <v>18</v>
      </c>
      <c r="AZ338" s="3" t="s">
        <v>18</v>
      </c>
      <c r="BA338" s="3" t="s">
        <v>24</v>
      </c>
      <c r="BD338" s="3" t="s">
        <v>656</v>
      </c>
      <c r="BE338" s="3" t="s">
        <v>619</v>
      </c>
      <c r="BF338" s="3" t="s">
        <v>455</v>
      </c>
      <c r="BG338" s="3" t="s">
        <v>217</v>
      </c>
      <c r="BH338" s="3" t="s">
        <v>766</v>
      </c>
    </row>
    <row r="339" spans="1:60" x14ac:dyDescent="0.3">
      <c r="A339" s="3" t="s">
        <v>1141</v>
      </c>
      <c r="B339" s="3" t="s">
        <v>26</v>
      </c>
      <c r="C339" s="3">
        <v>14</v>
      </c>
      <c r="D339" s="3">
        <v>9</v>
      </c>
      <c r="K339" s="4">
        <v>9</v>
      </c>
      <c r="L339" s="4">
        <v>9</v>
      </c>
      <c r="Q339" s="4">
        <v>9</v>
      </c>
      <c r="R339" s="4">
        <v>7</v>
      </c>
      <c r="W339" s="4">
        <v>8</v>
      </c>
      <c r="X339" s="4">
        <v>9</v>
      </c>
      <c r="AE339" s="4">
        <v>9</v>
      </c>
      <c r="AF339" s="4">
        <v>9</v>
      </c>
      <c r="AY339" s="3" t="s">
        <v>18</v>
      </c>
      <c r="AZ339" s="3" t="s">
        <v>18</v>
      </c>
      <c r="BA339" s="3" t="s">
        <v>767</v>
      </c>
      <c r="BD339" s="3" t="s">
        <v>656</v>
      </c>
      <c r="BE339" s="3" t="s">
        <v>619</v>
      </c>
      <c r="BF339" s="3" t="s">
        <v>768</v>
      </c>
      <c r="BG339" s="3" t="s">
        <v>769</v>
      </c>
      <c r="BH339" s="3" t="s">
        <v>24</v>
      </c>
    </row>
    <row r="340" spans="1:60" x14ac:dyDescent="0.3">
      <c r="A340" s="3" t="s">
        <v>1141</v>
      </c>
      <c r="B340" s="3" t="s">
        <v>16</v>
      </c>
      <c r="C340" s="3">
        <v>14</v>
      </c>
      <c r="D340" s="3">
        <v>9</v>
      </c>
      <c r="K340" s="4">
        <v>7</v>
      </c>
      <c r="L340" s="4">
        <v>8</v>
      </c>
      <c r="Q340" s="4">
        <v>5</v>
      </c>
      <c r="R340" s="4">
        <v>4</v>
      </c>
      <c r="W340" s="4">
        <v>7</v>
      </c>
      <c r="X340" s="4">
        <v>7</v>
      </c>
      <c r="AE340" s="4">
        <v>7</v>
      </c>
      <c r="AF340" s="4">
        <v>10</v>
      </c>
      <c r="AY340" s="3" t="s">
        <v>22</v>
      </c>
      <c r="AZ340" s="3" t="s">
        <v>22</v>
      </c>
      <c r="BD340" s="3" t="s">
        <v>656</v>
      </c>
      <c r="BE340" s="3" t="s">
        <v>623</v>
      </c>
      <c r="BF340" s="3" t="s">
        <v>770</v>
      </c>
      <c r="BG340" s="3" t="s">
        <v>771</v>
      </c>
      <c r="BH340" s="3" t="s">
        <v>772</v>
      </c>
    </row>
    <row r="341" spans="1:60" x14ac:dyDescent="0.3">
      <c r="A341" s="3" t="s">
        <v>1141</v>
      </c>
      <c r="B341" s="3" t="s">
        <v>16</v>
      </c>
      <c r="C341" s="3">
        <v>14</v>
      </c>
      <c r="D341" s="3">
        <v>9</v>
      </c>
      <c r="K341" s="4">
        <v>5</v>
      </c>
      <c r="L341" s="4">
        <v>4</v>
      </c>
      <c r="Q341" s="4">
        <v>4</v>
      </c>
      <c r="R341" s="4">
        <v>5</v>
      </c>
      <c r="W341" s="4">
        <v>7</v>
      </c>
      <c r="X341" s="4">
        <v>7</v>
      </c>
      <c r="AE341" s="4">
        <v>8</v>
      </c>
      <c r="AF341" s="4">
        <v>9</v>
      </c>
      <c r="AY341" s="3" t="s">
        <v>17</v>
      </c>
      <c r="BB341" s="3" t="s">
        <v>17</v>
      </c>
      <c r="BC341" s="3" t="s">
        <v>22</v>
      </c>
      <c r="BD341" s="3" t="s">
        <v>615</v>
      </c>
      <c r="BE341" s="3" t="s">
        <v>619</v>
      </c>
      <c r="BF341" s="3" t="s">
        <v>773</v>
      </c>
      <c r="BG341" s="3" t="s">
        <v>774</v>
      </c>
      <c r="BH341" s="3" t="s">
        <v>775</v>
      </c>
    </row>
    <row r="342" spans="1:60" x14ac:dyDescent="0.3">
      <c r="A342" s="3" t="s">
        <v>1141</v>
      </c>
      <c r="B342" s="3" t="s">
        <v>16</v>
      </c>
      <c r="C342" s="3">
        <v>14</v>
      </c>
      <c r="D342" s="3">
        <v>9</v>
      </c>
      <c r="K342" s="4">
        <v>9</v>
      </c>
      <c r="L342" s="4">
        <v>8</v>
      </c>
      <c r="Q342" s="4">
        <v>8</v>
      </c>
      <c r="R342" s="4">
        <v>7</v>
      </c>
      <c r="W342" s="4">
        <v>9</v>
      </c>
      <c r="X342" s="4">
        <v>10</v>
      </c>
      <c r="AE342" s="4">
        <v>9</v>
      </c>
      <c r="AF342" s="4">
        <v>10</v>
      </c>
      <c r="AY342" s="3" t="s">
        <v>17</v>
      </c>
      <c r="BB342" s="3" t="s">
        <v>17</v>
      </c>
      <c r="BC342" s="3" t="s">
        <v>22</v>
      </c>
      <c r="BD342" s="3" t="s">
        <v>615</v>
      </c>
      <c r="BE342" s="3" t="s">
        <v>619</v>
      </c>
      <c r="BF342" s="3" t="s">
        <v>773</v>
      </c>
      <c r="BG342" s="3" t="s">
        <v>776</v>
      </c>
      <c r="BH342" s="3" t="s">
        <v>777</v>
      </c>
    </row>
    <row r="343" spans="1:60" x14ac:dyDescent="0.3">
      <c r="A343" s="3" t="s">
        <v>1141</v>
      </c>
      <c r="B343" s="3" t="s">
        <v>16</v>
      </c>
      <c r="C343" s="3">
        <v>15</v>
      </c>
      <c r="D343" s="3">
        <v>10</v>
      </c>
      <c r="K343" s="4">
        <v>9</v>
      </c>
      <c r="L343" s="4">
        <v>8</v>
      </c>
      <c r="Q343" s="4">
        <v>9</v>
      </c>
      <c r="R343" s="4">
        <v>8</v>
      </c>
      <c r="W343" s="4">
        <v>10</v>
      </c>
      <c r="X343" s="4">
        <v>9</v>
      </c>
      <c r="AE343" s="4">
        <v>10</v>
      </c>
      <c r="AF343" s="4">
        <v>9</v>
      </c>
      <c r="AY343" s="3" t="s">
        <v>17</v>
      </c>
      <c r="BB343" s="3" t="s">
        <v>17</v>
      </c>
      <c r="BC343" s="3" t="s">
        <v>22</v>
      </c>
      <c r="BD343" s="3" t="s">
        <v>615</v>
      </c>
      <c r="BE343" s="3" t="s">
        <v>619</v>
      </c>
      <c r="BF343" s="3" t="s">
        <v>149</v>
      </c>
      <c r="BG343" s="3" t="s">
        <v>778</v>
      </c>
      <c r="BH343" s="3" t="s">
        <v>779</v>
      </c>
    </row>
    <row r="344" spans="1:60" x14ac:dyDescent="0.3">
      <c r="A344" s="3" t="s">
        <v>1141</v>
      </c>
      <c r="B344" s="3" t="s">
        <v>16</v>
      </c>
      <c r="C344" s="3">
        <v>14</v>
      </c>
      <c r="D344" s="3">
        <v>9</v>
      </c>
      <c r="K344" s="4">
        <v>8</v>
      </c>
      <c r="L344" s="4">
        <v>8</v>
      </c>
      <c r="Q344" s="4">
        <v>8</v>
      </c>
      <c r="R344" s="4">
        <v>8</v>
      </c>
      <c r="W344" s="4">
        <v>10</v>
      </c>
      <c r="X344" s="4">
        <v>10</v>
      </c>
      <c r="AE344" s="4">
        <v>8</v>
      </c>
      <c r="AF344" s="4">
        <v>7</v>
      </c>
      <c r="AY344" s="3" t="s">
        <v>17</v>
      </c>
      <c r="BB344" s="3" t="s">
        <v>17</v>
      </c>
      <c r="BC344" s="3" t="s">
        <v>22</v>
      </c>
      <c r="BD344" s="3" t="s">
        <v>615</v>
      </c>
      <c r="BE344" s="3" t="s">
        <v>619</v>
      </c>
      <c r="BF344" s="3" t="s">
        <v>780</v>
      </c>
      <c r="BG344" s="3" t="s">
        <v>781</v>
      </c>
      <c r="BH344" s="3" t="s">
        <v>782</v>
      </c>
    </row>
    <row r="345" spans="1:60" x14ac:dyDescent="0.3">
      <c r="A345" s="3" t="s">
        <v>1141</v>
      </c>
      <c r="B345" s="3" t="s">
        <v>16</v>
      </c>
      <c r="C345" s="3">
        <v>14</v>
      </c>
      <c r="D345" s="3">
        <v>9</v>
      </c>
      <c r="K345" s="4">
        <v>8</v>
      </c>
      <c r="L345" s="4">
        <v>6</v>
      </c>
      <c r="Q345" s="4">
        <v>8</v>
      </c>
      <c r="R345" s="4">
        <v>6</v>
      </c>
      <c r="W345" s="4">
        <v>9</v>
      </c>
      <c r="X345" s="4">
        <v>7</v>
      </c>
      <c r="AE345" s="4">
        <v>9</v>
      </c>
      <c r="AF345" s="4">
        <v>8</v>
      </c>
      <c r="AY345" s="3" t="s">
        <v>18</v>
      </c>
      <c r="AZ345" s="3" t="s">
        <v>18</v>
      </c>
      <c r="BA345" s="3" t="s">
        <v>783</v>
      </c>
      <c r="BD345" s="3" t="s">
        <v>615</v>
      </c>
      <c r="BE345" s="3" t="s">
        <v>623</v>
      </c>
      <c r="BF345" s="3" t="s">
        <v>784</v>
      </c>
      <c r="BG345" s="3" t="s">
        <v>785</v>
      </c>
      <c r="BH345" s="3" t="s">
        <v>786</v>
      </c>
    </row>
    <row r="346" spans="1:60" x14ac:dyDescent="0.3">
      <c r="A346" s="3" t="s">
        <v>1141</v>
      </c>
      <c r="B346" s="3" t="s">
        <v>16</v>
      </c>
      <c r="C346" s="3">
        <v>14</v>
      </c>
      <c r="D346" s="3">
        <v>9</v>
      </c>
      <c r="K346" s="4">
        <v>7</v>
      </c>
      <c r="L346" s="4">
        <v>6</v>
      </c>
      <c r="Q346" s="4">
        <v>4</v>
      </c>
      <c r="R346" s="4">
        <v>2</v>
      </c>
      <c r="W346" s="4">
        <v>7</v>
      </c>
      <c r="X346" s="4">
        <v>10</v>
      </c>
      <c r="AE346" s="4">
        <v>9</v>
      </c>
      <c r="AF346" s="4">
        <v>10</v>
      </c>
      <c r="AY346" s="3" t="s">
        <v>17</v>
      </c>
      <c r="BB346" s="3" t="s">
        <v>17</v>
      </c>
      <c r="BC346" s="3" t="s">
        <v>22</v>
      </c>
      <c r="BD346" s="3" t="s">
        <v>615</v>
      </c>
      <c r="BE346" s="3" t="s">
        <v>623</v>
      </c>
      <c r="BF346" s="3" t="s">
        <v>787</v>
      </c>
      <c r="BG346" s="3" t="s">
        <v>788</v>
      </c>
      <c r="BH346" s="3" t="s">
        <v>28</v>
      </c>
    </row>
    <row r="347" spans="1:60" x14ac:dyDescent="0.3">
      <c r="A347" s="3" t="s">
        <v>1141</v>
      </c>
      <c r="B347" s="3" t="s">
        <v>26</v>
      </c>
      <c r="C347" s="3">
        <v>14</v>
      </c>
      <c r="D347" s="3">
        <v>9</v>
      </c>
      <c r="K347" s="4">
        <v>9</v>
      </c>
      <c r="L347" s="4">
        <v>8</v>
      </c>
      <c r="Q347" s="4">
        <v>8</v>
      </c>
      <c r="R347" s="4">
        <v>6</v>
      </c>
      <c r="W347" s="4">
        <v>10</v>
      </c>
      <c r="X347" s="4">
        <v>9</v>
      </c>
      <c r="AE347" s="4">
        <v>8</v>
      </c>
      <c r="AF347" s="4">
        <v>9</v>
      </c>
      <c r="AY347" s="3" t="s">
        <v>18</v>
      </c>
      <c r="AZ347" s="3" t="s">
        <v>18</v>
      </c>
      <c r="BA347" s="3" t="s">
        <v>789</v>
      </c>
      <c r="BD347" s="3" t="s">
        <v>618</v>
      </c>
      <c r="BE347" s="3" t="s">
        <v>619</v>
      </c>
      <c r="BF347" s="3" t="s">
        <v>217</v>
      </c>
      <c r="BG347" s="3" t="s">
        <v>150</v>
      </c>
      <c r="BH347" s="3" t="s">
        <v>41</v>
      </c>
    </row>
    <row r="348" spans="1:60" x14ac:dyDescent="0.3">
      <c r="A348" s="3" t="s">
        <v>1141</v>
      </c>
      <c r="B348" s="3" t="s">
        <v>16</v>
      </c>
      <c r="C348" s="3">
        <v>14</v>
      </c>
      <c r="D348" s="3">
        <v>9</v>
      </c>
      <c r="K348" s="4">
        <v>9</v>
      </c>
      <c r="L348" s="4">
        <v>5</v>
      </c>
      <c r="Q348" s="4">
        <v>6</v>
      </c>
      <c r="R348" s="4">
        <v>5</v>
      </c>
      <c r="W348" s="4">
        <v>10</v>
      </c>
      <c r="X348" s="4">
        <v>8</v>
      </c>
      <c r="AE348" s="4">
        <v>10</v>
      </c>
      <c r="AF348" s="4">
        <v>10</v>
      </c>
      <c r="AY348" s="3" t="s">
        <v>17</v>
      </c>
      <c r="BB348" s="3" t="s">
        <v>17</v>
      </c>
      <c r="BC348" s="3" t="s">
        <v>22</v>
      </c>
      <c r="BD348" s="3" t="s">
        <v>618</v>
      </c>
      <c r="BE348" s="3" t="s">
        <v>619</v>
      </c>
      <c r="BF348" s="3" t="s">
        <v>311</v>
      </c>
      <c r="BG348" s="3" t="s">
        <v>790</v>
      </c>
      <c r="BH348" s="3" t="s">
        <v>791</v>
      </c>
    </row>
    <row r="349" spans="1:60" x14ac:dyDescent="0.3">
      <c r="A349" s="3" t="s">
        <v>1141</v>
      </c>
      <c r="B349" s="3" t="s">
        <v>26</v>
      </c>
      <c r="C349" s="3">
        <v>14</v>
      </c>
      <c r="D349" s="3">
        <v>7</v>
      </c>
      <c r="K349" s="4">
        <v>5</v>
      </c>
      <c r="L349" s="4">
        <v>3</v>
      </c>
      <c r="Q349" s="4">
        <v>5</v>
      </c>
      <c r="R349" s="4">
        <v>3</v>
      </c>
      <c r="W349" s="4">
        <v>5</v>
      </c>
      <c r="X349" s="4">
        <v>3</v>
      </c>
      <c r="AE349" s="4">
        <v>5</v>
      </c>
      <c r="AF349" s="4">
        <v>3</v>
      </c>
      <c r="AY349" s="3" t="s">
        <v>18</v>
      </c>
      <c r="AZ349" s="3" t="s">
        <v>18</v>
      </c>
      <c r="BA349" s="3" t="s">
        <v>792</v>
      </c>
      <c r="BD349" s="3" t="s">
        <v>618</v>
      </c>
      <c r="BE349" s="3" t="s">
        <v>616</v>
      </c>
      <c r="BF349" s="3" t="s">
        <v>24</v>
      </c>
      <c r="BG349" s="3" t="s">
        <v>142</v>
      </c>
      <c r="BH349" s="3" t="s">
        <v>793</v>
      </c>
    </row>
    <row r="350" spans="1:60" x14ac:dyDescent="0.3">
      <c r="A350" s="3" t="s">
        <v>1141</v>
      </c>
      <c r="B350" s="3" t="s">
        <v>26</v>
      </c>
      <c r="C350" s="3">
        <v>14</v>
      </c>
      <c r="D350" s="3">
        <v>8</v>
      </c>
      <c r="K350" s="4">
        <v>9</v>
      </c>
      <c r="L350" s="4">
        <v>9</v>
      </c>
      <c r="Q350" s="4">
        <v>5</v>
      </c>
      <c r="R350" s="4">
        <v>6</v>
      </c>
      <c r="W350" s="4">
        <v>10</v>
      </c>
      <c r="X350" s="4">
        <v>9</v>
      </c>
      <c r="AE350" s="4">
        <v>7</v>
      </c>
      <c r="AF350" s="4">
        <v>8</v>
      </c>
      <c r="AY350" s="3" t="s">
        <v>17</v>
      </c>
      <c r="BB350" s="3" t="s">
        <v>17</v>
      </c>
      <c r="BC350" s="3" t="s">
        <v>18</v>
      </c>
      <c r="BD350" s="3" t="s">
        <v>615</v>
      </c>
      <c r="BE350" s="3" t="s">
        <v>619</v>
      </c>
      <c r="BF350" s="3" t="s">
        <v>780</v>
      </c>
      <c r="BG350" s="3" t="s">
        <v>794</v>
      </c>
      <c r="BH350" s="3" t="s">
        <v>795</v>
      </c>
    </row>
    <row r="351" spans="1:60" x14ac:dyDescent="0.3">
      <c r="A351" s="3" t="s">
        <v>1141</v>
      </c>
      <c r="B351" s="3" t="s">
        <v>16</v>
      </c>
      <c r="C351" s="3">
        <v>14</v>
      </c>
      <c r="D351" s="3">
        <v>9</v>
      </c>
      <c r="K351" s="4">
        <v>10</v>
      </c>
      <c r="L351" s="4">
        <v>10</v>
      </c>
      <c r="Q351" s="4">
        <v>9</v>
      </c>
      <c r="R351" s="4">
        <v>8</v>
      </c>
      <c r="W351" s="4">
        <v>10</v>
      </c>
      <c r="X351" s="4">
        <v>10</v>
      </c>
      <c r="AE351" s="4">
        <v>10</v>
      </c>
      <c r="AF351" s="4">
        <v>10</v>
      </c>
      <c r="AY351" s="3" t="s">
        <v>18</v>
      </c>
      <c r="AZ351" s="3" t="s">
        <v>22</v>
      </c>
      <c r="BA351" s="3" t="s">
        <v>796</v>
      </c>
      <c r="BD351" s="3" t="s">
        <v>656</v>
      </c>
      <c r="BE351" s="3" t="s">
        <v>623</v>
      </c>
      <c r="BF351" s="3" t="s">
        <v>797</v>
      </c>
      <c r="BG351" s="3" t="s">
        <v>194</v>
      </c>
      <c r="BH351" s="3" t="s">
        <v>798</v>
      </c>
    </row>
    <row r="352" spans="1:60" x14ac:dyDescent="0.3">
      <c r="A352" s="3" t="s">
        <v>1141</v>
      </c>
      <c r="B352" s="3" t="s">
        <v>26</v>
      </c>
      <c r="C352" s="3">
        <v>15</v>
      </c>
      <c r="D352" s="3">
        <v>10</v>
      </c>
      <c r="K352" s="4">
        <v>10</v>
      </c>
      <c r="L352" s="4">
        <v>10</v>
      </c>
      <c r="Q352" s="4">
        <v>8</v>
      </c>
      <c r="R352" s="4">
        <v>8</v>
      </c>
      <c r="W352" s="4">
        <v>10</v>
      </c>
      <c r="X352" s="4">
        <v>9</v>
      </c>
      <c r="AE352" s="4">
        <v>9</v>
      </c>
      <c r="AF352" s="4">
        <v>9</v>
      </c>
      <c r="AY352" s="3" t="s">
        <v>18</v>
      </c>
      <c r="AZ352" s="3" t="s">
        <v>22</v>
      </c>
      <c r="BD352" s="3" t="s">
        <v>656</v>
      </c>
      <c r="BE352" s="3" t="s">
        <v>623</v>
      </c>
      <c r="BF352" s="3" t="s">
        <v>799</v>
      </c>
      <c r="BG352" s="3" t="s">
        <v>800</v>
      </c>
      <c r="BH352" s="3" t="s">
        <v>801</v>
      </c>
    </row>
    <row r="353" spans="1:60" x14ac:dyDescent="0.3">
      <c r="A353" s="3" t="s">
        <v>1141</v>
      </c>
      <c r="B353" s="3" t="s">
        <v>26</v>
      </c>
      <c r="C353" s="3">
        <v>15</v>
      </c>
      <c r="D353" s="3">
        <v>9</v>
      </c>
      <c r="K353" s="4">
        <v>10</v>
      </c>
      <c r="L353" s="4">
        <v>10</v>
      </c>
      <c r="Q353" s="4">
        <v>10</v>
      </c>
      <c r="R353" s="4">
        <v>8</v>
      </c>
      <c r="W353" s="4">
        <v>10</v>
      </c>
      <c r="X353" s="4">
        <v>6</v>
      </c>
      <c r="AE353" s="4">
        <v>10</v>
      </c>
      <c r="AF353" s="4">
        <v>10</v>
      </c>
      <c r="AY353" s="3" t="s">
        <v>22</v>
      </c>
      <c r="AZ353" s="3" t="s">
        <v>22</v>
      </c>
      <c r="BD353" s="3" t="s">
        <v>656</v>
      </c>
      <c r="BE353" s="3" t="s">
        <v>623</v>
      </c>
      <c r="BF353" s="3" t="s">
        <v>802</v>
      </c>
      <c r="BG353" s="3" t="s">
        <v>803</v>
      </c>
      <c r="BH353" s="3" t="s">
        <v>804</v>
      </c>
    </row>
    <row r="354" spans="1:60" x14ac:dyDescent="0.3">
      <c r="A354" s="3" t="s">
        <v>1141</v>
      </c>
      <c r="B354" s="3" t="s">
        <v>16</v>
      </c>
      <c r="C354" s="3">
        <v>14</v>
      </c>
      <c r="D354" s="3">
        <v>9</v>
      </c>
      <c r="K354" s="4">
        <v>3</v>
      </c>
      <c r="L354" s="4">
        <v>1</v>
      </c>
      <c r="Q354" s="4">
        <v>2</v>
      </c>
      <c r="R354" s="4">
        <v>1</v>
      </c>
      <c r="W354" s="4">
        <v>9</v>
      </c>
      <c r="X354" s="4">
        <v>9</v>
      </c>
      <c r="AE354" s="4">
        <v>4</v>
      </c>
      <c r="AF354" s="4">
        <v>2</v>
      </c>
      <c r="AY354" s="3" t="s">
        <v>17</v>
      </c>
      <c r="BB354" s="3" t="s">
        <v>17</v>
      </c>
      <c r="BC354" s="3" t="s">
        <v>22</v>
      </c>
      <c r="BD354" s="3" t="s">
        <v>615</v>
      </c>
      <c r="BE354" s="3" t="s">
        <v>616</v>
      </c>
      <c r="BF354" s="3" t="s">
        <v>749</v>
      </c>
      <c r="BG354" s="3" t="s">
        <v>805</v>
      </c>
      <c r="BH354" s="3" t="s">
        <v>806</v>
      </c>
    </row>
    <row r="355" spans="1:60" x14ac:dyDescent="0.3">
      <c r="A355" s="3" t="s">
        <v>1141</v>
      </c>
      <c r="B355" s="3" t="s">
        <v>16</v>
      </c>
      <c r="C355" s="3">
        <v>14</v>
      </c>
      <c r="D355" s="3">
        <v>10</v>
      </c>
      <c r="G355" s="4">
        <v>3</v>
      </c>
      <c r="H355" s="4">
        <v>4</v>
      </c>
      <c r="K355" s="4">
        <v>10</v>
      </c>
      <c r="L355" s="4">
        <v>10</v>
      </c>
      <c r="AM355" s="4">
        <v>10</v>
      </c>
      <c r="AN355" s="4">
        <v>10</v>
      </c>
      <c r="AO355" s="4">
        <v>8</v>
      </c>
      <c r="AP355" s="4">
        <v>3</v>
      </c>
      <c r="AQ355" s="4">
        <v>10</v>
      </c>
      <c r="AR355" s="4">
        <v>10</v>
      </c>
      <c r="AY355" s="3" t="s">
        <v>17</v>
      </c>
      <c r="BB355" s="3" t="s">
        <v>18</v>
      </c>
      <c r="BC355" s="3" t="s">
        <v>22</v>
      </c>
      <c r="BD355" s="3" t="s">
        <v>615</v>
      </c>
      <c r="BE355" s="3" t="s">
        <v>619</v>
      </c>
      <c r="BF355" s="3" t="s">
        <v>807</v>
      </c>
      <c r="BG355" s="3" t="s">
        <v>808</v>
      </c>
      <c r="BH355" s="3" t="s">
        <v>809</v>
      </c>
    </row>
    <row r="356" spans="1:60" x14ac:dyDescent="0.3">
      <c r="A356" s="3" t="s">
        <v>1141</v>
      </c>
      <c r="B356" s="3" t="s">
        <v>26</v>
      </c>
      <c r="C356" s="3">
        <v>15</v>
      </c>
      <c r="D356" s="3">
        <v>10</v>
      </c>
      <c r="G356" s="4">
        <v>10</v>
      </c>
      <c r="H356" s="4">
        <v>10</v>
      </c>
      <c r="K356" s="4">
        <v>10</v>
      </c>
      <c r="L356" s="4">
        <v>10</v>
      </c>
      <c r="AM356" s="4">
        <v>10</v>
      </c>
      <c r="AN356" s="4">
        <v>10</v>
      </c>
      <c r="AO356" s="4">
        <v>10</v>
      </c>
      <c r="AP356" s="4">
        <v>10</v>
      </c>
      <c r="AQ356" s="4">
        <v>10</v>
      </c>
      <c r="AR356" s="4">
        <v>10</v>
      </c>
      <c r="AY356" s="3" t="s">
        <v>18</v>
      </c>
      <c r="AZ356" s="3" t="s">
        <v>18</v>
      </c>
      <c r="BD356" s="3" t="s">
        <v>618</v>
      </c>
      <c r="BE356" s="3" t="s">
        <v>619</v>
      </c>
      <c r="BF356" s="3" t="s">
        <v>810</v>
      </c>
      <c r="BG356" s="3" t="s">
        <v>811</v>
      </c>
    </row>
    <row r="357" spans="1:60" x14ac:dyDescent="0.3">
      <c r="A357" s="3" t="s">
        <v>1141</v>
      </c>
      <c r="B357" s="3" t="s">
        <v>16</v>
      </c>
      <c r="C357" s="3">
        <v>16</v>
      </c>
      <c r="D357" s="3">
        <v>6</v>
      </c>
      <c r="G357" s="4">
        <v>6</v>
      </c>
      <c r="H357" s="4">
        <v>5</v>
      </c>
      <c r="K357" s="4">
        <v>5</v>
      </c>
      <c r="L357" s="4">
        <v>5</v>
      </c>
      <c r="AM357" s="4">
        <v>5</v>
      </c>
      <c r="AN357" s="4">
        <v>5</v>
      </c>
      <c r="AO357" s="4">
        <v>7</v>
      </c>
      <c r="AP357" s="4">
        <v>7</v>
      </c>
      <c r="AQ357" s="4">
        <v>7</v>
      </c>
      <c r="AR357" s="4">
        <v>7</v>
      </c>
      <c r="AY357" s="3" t="s">
        <v>17</v>
      </c>
      <c r="BB357" s="3" t="s">
        <v>17</v>
      </c>
      <c r="BC357" s="3" t="s">
        <v>18</v>
      </c>
      <c r="BD357" s="3" t="s">
        <v>615</v>
      </c>
      <c r="BE357" s="3" t="s">
        <v>619</v>
      </c>
      <c r="BF357" s="3" t="s">
        <v>812</v>
      </c>
      <c r="BG357" s="3" t="s">
        <v>813</v>
      </c>
      <c r="BH357" s="3" t="s">
        <v>814</v>
      </c>
    </row>
    <row r="358" spans="1:60" x14ac:dyDescent="0.3">
      <c r="A358" s="3" t="s">
        <v>1141</v>
      </c>
      <c r="B358" s="3" t="s">
        <v>26</v>
      </c>
      <c r="C358" s="3">
        <v>14</v>
      </c>
      <c r="D358" s="3">
        <v>7</v>
      </c>
      <c r="G358" s="4">
        <v>5</v>
      </c>
      <c r="H358" s="4">
        <v>7</v>
      </c>
      <c r="K358" s="4">
        <v>8</v>
      </c>
      <c r="L358" s="4">
        <v>7</v>
      </c>
      <c r="AM358" s="4">
        <v>8</v>
      </c>
      <c r="AN358" s="4">
        <v>9</v>
      </c>
      <c r="AO358" s="4">
        <v>7</v>
      </c>
      <c r="AP358" s="4">
        <v>7</v>
      </c>
      <c r="AQ358" s="4">
        <v>7</v>
      </c>
      <c r="AR358" s="4">
        <v>8</v>
      </c>
      <c r="AY358" s="3" t="s">
        <v>18</v>
      </c>
      <c r="AZ358" s="3" t="s">
        <v>18</v>
      </c>
      <c r="BD358" s="3" t="s">
        <v>618</v>
      </c>
      <c r="BE358" s="3" t="s">
        <v>619</v>
      </c>
      <c r="BF358" s="3" t="s">
        <v>815</v>
      </c>
      <c r="BG358" s="3" t="s">
        <v>816</v>
      </c>
      <c r="BH358" s="3" t="s">
        <v>817</v>
      </c>
    </row>
    <row r="359" spans="1:60" x14ac:dyDescent="0.3">
      <c r="A359" s="3" t="s">
        <v>1141</v>
      </c>
      <c r="B359" s="3" t="s">
        <v>16</v>
      </c>
      <c r="C359" s="3">
        <v>15</v>
      </c>
      <c r="D359" s="3">
        <v>8</v>
      </c>
      <c r="G359" s="4">
        <v>7</v>
      </c>
      <c r="H359" s="4">
        <v>8</v>
      </c>
      <c r="K359" s="4">
        <v>6</v>
      </c>
      <c r="L359" s="4">
        <v>9</v>
      </c>
      <c r="AM359" s="4">
        <v>7</v>
      </c>
      <c r="AN359" s="4">
        <v>7</v>
      </c>
      <c r="AO359" s="4">
        <v>7</v>
      </c>
      <c r="AP359" s="4">
        <v>8</v>
      </c>
      <c r="AQ359" s="4">
        <v>7</v>
      </c>
      <c r="AR359" s="4">
        <v>6</v>
      </c>
      <c r="AY359" s="3" t="s">
        <v>17</v>
      </c>
      <c r="BB359" s="3" t="s">
        <v>17</v>
      </c>
      <c r="BC359" s="3" t="s">
        <v>22</v>
      </c>
      <c r="BD359" s="3" t="s">
        <v>615</v>
      </c>
      <c r="BE359" s="3" t="s">
        <v>619</v>
      </c>
      <c r="BF359" s="3" t="s">
        <v>818</v>
      </c>
      <c r="BG359" s="3" t="s">
        <v>819</v>
      </c>
      <c r="BH359" s="3" t="s">
        <v>820</v>
      </c>
    </row>
    <row r="360" spans="1:60" x14ac:dyDescent="0.3">
      <c r="A360" s="3" t="s">
        <v>1141</v>
      </c>
      <c r="B360" s="3" t="s">
        <v>26</v>
      </c>
      <c r="C360" s="3">
        <v>15</v>
      </c>
      <c r="D360" s="3">
        <v>10</v>
      </c>
      <c r="G360" s="4">
        <v>10</v>
      </c>
      <c r="H360" s="4">
        <v>10</v>
      </c>
      <c r="K360" s="4">
        <v>10</v>
      </c>
      <c r="L360" s="4">
        <v>10</v>
      </c>
      <c r="AM360" s="4">
        <v>10</v>
      </c>
      <c r="AN360" s="4">
        <v>10</v>
      </c>
      <c r="AO360" s="4">
        <v>10</v>
      </c>
      <c r="AP360" s="4">
        <v>10</v>
      </c>
      <c r="AQ360" s="4">
        <v>10</v>
      </c>
      <c r="AR360" s="4">
        <v>10</v>
      </c>
      <c r="AY360" s="3" t="s">
        <v>22</v>
      </c>
      <c r="AZ360" s="3" t="s">
        <v>22</v>
      </c>
      <c r="BA360" s="3" t="s">
        <v>821</v>
      </c>
      <c r="BD360" s="3" t="s">
        <v>656</v>
      </c>
      <c r="BE360" s="3" t="s">
        <v>623</v>
      </c>
      <c r="BF360" s="3" t="s">
        <v>822</v>
      </c>
      <c r="BG360" s="3" t="s">
        <v>28</v>
      </c>
      <c r="BH360" s="3" t="s">
        <v>358</v>
      </c>
    </row>
    <row r="361" spans="1:60" x14ac:dyDescent="0.3">
      <c r="A361" s="3" t="s">
        <v>1141</v>
      </c>
      <c r="B361" s="3" t="s">
        <v>26</v>
      </c>
      <c r="C361" s="3">
        <v>16</v>
      </c>
      <c r="D361" s="3">
        <v>10</v>
      </c>
      <c r="G361" s="4">
        <v>7</v>
      </c>
      <c r="H361" s="4">
        <v>10</v>
      </c>
      <c r="K361" s="4">
        <v>7</v>
      </c>
      <c r="L361" s="4">
        <v>10</v>
      </c>
      <c r="AM361" s="4">
        <v>7</v>
      </c>
      <c r="AN361" s="4">
        <v>10</v>
      </c>
      <c r="AO361" s="4">
        <v>7</v>
      </c>
      <c r="AP361" s="4">
        <v>10</v>
      </c>
      <c r="AQ361" s="4">
        <v>7</v>
      </c>
      <c r="AR361" s="4">
        <v>10</v>
      </c>
      <c r="AY361" s="3" t="s">
        <v>17</v>
      </c>
      <c r="BB361" s="3" t="s">
        <v>17</v>
      </c>
      <c r="BC361" s="3" t="s">
        <v>17</v>
      </c>
      <c r="BD361" s="3" t="s">
        <v>615</v>
      </c>
      <c r="BE361" s="3" t="s">
        <v>616</v>
      </c>
      <c r="BF361" s="3" t="s">
        <v>823</v>
      </c>
      <c r="BG361" s="3" t="s">
        <v>824</v>
      </c>
      <c r="BH361" s="3" t="s">
        <v>825</v>
      </c>
    </row>
    <row r="362" spans="1:60" x14ac:dyDescent="0.3">
      <c r="A362" s="3" t="s">
        <v>1141</v>
      </c>
      <c r="B362" s="3" t="s">
        <v>26</v>
      </c>
      <c r="C362" s="3">
        <v>15</v>
      </c>
      <c r="D362" s="3">
        <v>10</v>
      </c>
      <c r="G362" s="4">
        <v>8</v>
      </c>
      <c r="H362" s="4">
        <v>8</v>
      </c>
      <c r="K362" s="4">
        <v>7</v>
      </c>
      <c r="L362" s="4">
        <v>7</v>
      </c>
      <c r="AM362" s="4">
        <v>9</v>
      </c>
      <c r="AN362" s="4">
        <v>9</v>
      </c>
      <c r="AO362" s="4">
        <v>9</v>
      </c>
      <c r="AP362" s="4">
        <v>9</v>
      </c>
      <c r="AQ362" s="4">
        <v>8</v>
      </c>
      <c r="AR362" s="4">
        <v>8</v>
      </c>
      <c r="AY362" s="3" t="s">
        <v>18</v>
      </c>
      <c r="AZ362" s="3" t="s">
        <v>22</v>
      </c>
      <c r="BD362" s="3" t="s">
        <v>618</v>
      </c>
      <c r="BE362" s="3" t="s">
        <v>619</v>
      </c>
      <c r="BF362" s="3" t="s">
        <v>826</v>
      </c>
      <c r="BG362" s="3" t="s">
        <v>241</v>
      </c>
      <c r="BH362" s="3" t="s">
        <v>827</v>
      </c>
    </row>
    <row r="363" spans="1:60" x14ac:dyDescent="0.3">
      <c r="A363" s="3" t="s">
        <v>1141</v>
      </c>
      <c r="B363" s="3" t="s">
        <v>16</v>
      </c>
      <c r="C363" s="3">
        <v>17</v>
      </c>
      <c r="D363" s="3">
        <v>10</v>
      </c>
      <c r="E363" s="4">
        <v>10</v>
      </c>
      <c r="F363" s="4">
        <v>10</v>
      </c>
      <c r="I363" s="4">
        <v>10</v>
      </c>
      <c r="J363" s="4">
        <v>10</v>
      </c>
      <c r="K363" s="4">
        <v>10</v>
      </c>
      <c r="L363" s="4">
        <v>10</v>
      </c>
      <c r="O363" s="4">
        <v>10</v>
      </c>
      <c r="P363" s="4">
        <v>10</v>
      </c>
      <c r="AC363" s="4">
        <v>10</v>
      </c>
      <c r="AD363" s="4">
        <v>10</v>
      </c>
      <c r="AU363" s="4">
        <v>10</v>
      </c>
      <c r="AV363" s="4">
        <v>10</v>
      </c>
      <c r="AY363" s="3" t="s">
        <v>22</v>
      </c>
      <c r="AZ363" s="3" t="s">
        <v>22</v>
      </c>
      <c r="BD363" s="3" t="s">
        <v>656</v>
      </c>
      <c r="BE363" s="3" t="s">
        <v>623</v>
      </c>
      <c r="BF363" s="3" t="s">
        <v>98</v>
      </c>
      <c r="BG363" s="3" t="s">
        <v>828</v>
      </c>
      <c r="BH363" s="3" t="s">
        <v>829</v>
      </c>
    </row>
    <row r="364" spans="1:60" x14ac:dyDescent="0.3">
      <c r="A364" s="3" t="s">
        <v>1141</v>
      </c>
      <c r="B364" s="3" t="s">
        <v>26</v>
      </c>
      <c r="C364" s="3">
        <v>17</v>
      </c>
      <c r="D364" s="3">
        <v>10</v>
      </c>
      <c r="E364" s="4">
        <v>9</v>
      </c>
      <c r="F364" s="4">
        <v>8</v>
      </c>
      <c r="I364" s="4">
        <v>10</v>
      </c>
      <c r="J364" s="4">
        <v>10</v>
      </c>
      <c r="K364" s="4">
        <v>10</v>
      </c>
      <c r="L364" s="4">
        <v>10</v>
      </c>
      <c r="O364" s="4">
        <v>10</v>
      </c>
      <c r="P364" s="4">
        <v>10</v>
      </c>
      <c r="AC364" s="4">
        <v>10</v>
      </c>
      <c r="AD364" s="4">
        <v>10</v>
      </c>
      <c r="AU364" s="4">
        <v>8</v>
      </c>
      <c r="AV364" s="4">
        <v>6</v>
      </c>
      <c r="AY364" s="3" t="s">
        <v>22</v>
      </c>
      <c r="AZ364" s="3" t="s">
        <v>22</v>
      </c>
      <c r="BD364" s="3" t="s">
        <v>656</v>
      </c>
      <c r="BE364" s="3" t="s">
        <v>623</v>
      </c>
      <c r="BF364" s="3" t="s">
        <v>830</v>
      </c>
      <c r="BG364" s="3" t="s">
        <v>831</v>
      </c>
      <c r="BH364" s="3" t="s">
        <v>832</v>
      </c>
    </row>
    <row r="365" spans="1:60" x14ac:dyDescent="0.3">
      <c r="A365" s="3" t="s">
        <v>1141</v>
      </c>
      <c r="B365" s="3" t="s">
        <v>26</v>
      </c>
      <c r="C365" s="3">
        <v>17</v>
      </c>
      <c r="D365" s="3">
        <v>10</v>
      </c>
      <c r="E365" s="4">
        <v>9</v>
      </c>
      <c r="F365" s="4">
        <v>10</v>
      </c>
      <c r="I365" s="4">
        <v>9</v>
      </c>
      <c r="J365" s="4">
        <v>9</v>
      </c>
      <c r="K365" s="4">
        <v>10</v>
      </c>
      <c r="L365" s="4">
        <v>10</v>
      </c>
      <c r="O365" s="4">
        <v>10</v>
      </c>
      <c r="P365" s="4">
        <v>10</v>
      </c>
      <c r="AC365" s="4">
        <v>9</v>
      </c>
      <c r="AD365" s="4">
        <v>10</v>
      </c>
      <c r="AU365" s="4">
        <v>10</v>
      </c>
      <c r="AV365" s="4">
        <v>10</v>
      </c>
      <c r="AY365" s="3" t="s">
        <v>22</v>
      </c>
      <c r="AZ365" s="3" t="s">
        <v>22</v>
      </c>
      <c r="BD365" s="3" t="s">
        <v>656</v>
      </c>
      <c r="BE365" s="3" t="s">
        <v>623</v>
      </c>
      <c r="BF365" s="3" t="s">
        <v>362</v>
      </c>
      <c r="BG365" s="3" t="s">
        <v>833</v>
      </c>
      <c r="BH365" s="3" t="s">
        <v>834</v>
      </c>
    </row>
    <row r="366" spans="1:60" x14ac:dyDescent="0.3">
      <c r="A366" s="3" t="s">
        <v>1141</v>
      </c>
      <c r="B366" s="3" t="s">
        <v>16</v>
      </c>
      <c r="C366" s="3">
        <v>17</v>
      </c>
      <c r="D366" s="3">
        <v>10</v>
      </c>
      <c r="E366" s="4">
        <v>10</v>
      </c>
      <c r="F366" s="4">
        <v>10</v>
      </c>
      <c r="I366" s="4">
        <v>10</v>
      </c>
      <c r="J366" s="4">
        <v>9</v>
      </c>
      <c r="K366" s="4">
        <v>10</v>
      </c>
      <c r="L366" s="4">
        <v>10</v>
      </c>
      <c r="O366" s="4">
        <v>9</v>
      </c>
      <c r="P366" s="4">
        <v>9</v>
      </c>
      <c r="AC366" s="4">
        <v>10</v>
      </c>
      <c r="AD366" s="4">
        <v>10</v>
      </c>
      <c r="AU366" s="4">
        <v>3</v>
      </c>
      <c r="AV366" s="4">
        <v>3</v>
      </c>
      <c r="AY366" s="3" t="s">
        <v>22</v>
      </c>
      <c r="AZ366" s="3" t="s">
        <v>17</v>
      </c>
      <c r="BA366" s="3" t="s">
        <v>835</v>
      </c>
      <c r="BD366" s="3" t="s">
        <v>656</v>
      </c>
      <c r="BE366" s="3" t="s">
        <v>623</v>
      </c>
      <c r="BF366" s="3" t="s">
        <v>836</v>
      </c>
      <c r="BG366" s="3" t="s">
        <v>837</v>
      </c>
      <c r="BH366" s="3" t="s">
        <v>838</v>
      </c>
    </row>
    <row r="367" spans="1:60" x14ac:dyDescent="0.3">
      <c r="A367" s="3" t="s">
        <v>1141</v>
      </c>
      <c r="B367" s="3" t="s">
        <v>26</v>
      </c>
      <c r="C367" s="3">
        <v>17</v>
      </c>
      <c r="D367" s="3">
        <v>10</v>
      </c>
      <c r="E367" s="4">
        <v>10</v>
      </c>
      <c r="F367" s="4">
        <v>10</v>
      </c>
      <c r="I367" s="4">
        <v>10</v>
      </c>
      <c r="J367" s="4">
        <v>10</v>
      </c>
      <c r="K367" s="4">
        <v>10</v>
      </c>
      <c r="L367" s="4">
        <v>10</v>
      </c>
      <c r="O367" s="4">
        <v>10</v>
      </c>
      <c r="P367" s="4">
        <v>10</v>
      </c>
      <c r="AC367" s="4">
        <v>10</v>
      </c>
      <c r="AD367" s="4">
        <v>10</v>
      </c>
      <c r="AU367" s="4">
        <v>10</v>
      </c>
      <c r="AV367" s="4">
        <v>10</v>
      </c>
      <c r="AY367" s="3" t="s">
        <v>22</v>
      </c>
      <c r="AZ367" s="3" t="s">
        <v>22</v>
      </c>
      <c r="BD367" s="3" t="s">
        <v>656</v>
      </c>
      <c r="BE367" s="3" t="s">
        <v>623</v>
      </c>
      <c r="BF367" s="3" t="s">
        <v>86</v>
      </c>
      <c r="BG367" s="3" t="s">
        <v>28</v>
      </c>
    </row>
    <row r="368" spans="1:60" x14ac:dyDescent="0.3">
      <c r="A368" s="3" t="s">
        <v>1141</v>
      </c>
      <c r="B368" s="3" t="s">
        <v>26</v>
      </c>
      <c r="C368" s="3">
        <v>16</v>
      </c>
      <c r="D368" s="3">
        <v>10</v>
      </c>
      <c r="E368" s="4">
        <v>10</v>
      </c>
      <c r="F368" s="4">
        <v>10</v>
      </c>
      <c r="I368" s="4">
        <v>10</v>
      </c>
      <c r="J368" s="4">
        <v>10</v>
      </c>
      <c r="K368" s="4">
        <v>10</v>
      </c>
      <c r="L368" s="4">
        <v>10</v>
      </c>
      <c r="O368" s="4">
        <v>10</v>
      </c>
      <c r="P368" s="4">
        <v>10</v>
      </c>
      <c r="AC368" s="4">
        <v>10</v>
      </c>
      <c r="AD368" s="4">
        <v>10</v>
      </c>
      <c r="AU368" s="4">
        <v>10</v>
      </c>
      <c r="AV368" s="4">
        <v>10</v>
      </c>
      <c r="AY368" s="3" t="s">
        <v>22</v>
      </c>
      <c r="AZ368" s="3" t="s">
        <v>22</v>
      </c>
      <c r="BD368" s="3" t="s">
        <v>618</v>
      </c>
      <c r="BE368" s="3" t="s">
        <v>623</v>
      </c>
      <c r="BF368" s="3" t="s">
        <v>23</v>
      </c>
      <c r="BG368" s="3" t="s">
        <v>24</v>
      </c>
      <c r="BH368" s="3" t="s">
        <v>471</v>
      </c>
    </row>
    <row r="369" spans="1:60" x14ac:dyDescent="0.3">
      <c r="A369" s="3" t="s">
        <v>1141</v>
      </c>
      <c r="B369" s="3" t="s">
        <v>26</v>
      </c>
      <c r="C369" s="3">
        <v>16</v>
      </c>
      <c r="D369" s="3">
        <v>10</v>
      </c>
      <c r="E369" s="4">
        <v>10</v>
      </c>
      <c r="F369" s="4">
        <v>10</v>
      </c>
      <c r="I369" s="4">
        <v>10</v>
      </c>
      <c r="J369" s="4">
        <v>10</v>
      </c>
      <c r="K369" s="4">
        <v>10</v>
      </c>
      <c r="L369" s="4">
        <v>10</v>
      </c>
      <c r="O369" s="4">
        <v>10</v>
      </c>
      <c r="P369" s="4">
        <v>10</v>
      </c>
      <c r="AC369" s="4">
        <v>10</v>
      </c>
      <c r="AD369" s="4">
        <v>10</v>
      </c>
      <c r="AU369" s="4">
        <v>5</v>
      </c>
      <c r="AV369" s="4">
        <v>4</v>
      </c>
      <c r="AY369" s="3" t="s">
        <v>22</v>
      </c>
      <c r="AZ369" s="3" t="s">
        <v>22</v>
      </c>
      <c r="BD369" s="3" t="s">
        <v>656</v>
      </c>
      <c r="BE369" s="3" t="s">
        <v>623</v>
      </c>
      <c r="BF369" s="3" t="s">
        <v>839</v>
      </c>
      <c r="BG369" s="3" t="s">
        <v>840</v>
      </c>
      <c r="BH369" s="3" t="s">
        <v>247</v>
      </c>
    </row>
    <row r="370" spans="1:60" x14ac:dyDescent="0.3">
      <c r="A370" s="3" t="s">
        <v>1141</v>
      </c>
      <c r="B370" s="3" t="s">
        <v>26</v>
      </c>
      <c r="C370" s="3">
        <v>16</v>
      </c>
      <c r="D370" s="3">
        <v>10</v>
      </c>
      <c r="E370" s="4">
        <v>10</v>
      </c>
      <c r="F370" s="4">
        <v>10</v>
      </c>
      <c r="I370" s="4">
        <v>10</v>
      </c>
      <c r="J370" s="4">
        <v>10</v>
      </c>
      <c r="K370" s="4">
        <v>10</v>
      </c>
      <c r="L370" s="4">
        <v>10</v>
      </c>
      <c r="O370" s="4">
        <v>10</v>
      </c>
      <c r="P370" s="4">
        <v>10</v>
      </c>
      <c r="AC370" s="4">
        <v>10</v>
      </c>
      <c r="AD370" s="4">
        <v>10</v>
      </c>
      <c r="AU370" s="4">
        <v>10</v>
      </c>
      <c r="AV370" s="4">
        <v>10</v>
      </c>
      <c r="AY370" s="3" t="s">
        <v>22</v>
      </c>
      <c r="AZ370" s="3" t="s">
        <v>18</v>
      </c>
      <c r="BA370" s="3" t="s">
        <v>841</v>
      </c>
      <c r="BD370" s="3" t="s">
        <v>618</v>
      </c>
      <c r="BE370" s="3" t="s">
        <v>623</v>
      </c>
      <c r="BF370" s="3" t="s">
        <v>842</v>
      </c>
      <c r="BG370" s="3" t="s">
        <v>24</v>
      </c>
      <c r="BH370" s="3" t="s">
        <v>471</v>
      </c>
    </row>
    <row r="371" spans="1:60" x14ac:dyDescent="0.3">
      <c r="A371" s="3" t="s">
        <v>1141</v>
      </c>
      <c r="B371" s="3" t="s">
        <v>26</v>
      </c>
      <c r="C371" s="3">
        <v>16</v>
      </c>
      <c r="D371" s="3">
        <v>10</v>
      </c>
      <c r="E371" s="4">
        <v>10</v>
      </c>
      <c r="F371" s="4">
        <v>10</v>
      </c>
      <c r="I371" s="4">
        <v>10</v>
      </c>
      <c r="J371" s="4">
        <v>10</v>
      </c>
      <c r="K371" s="4">
        <v>10</v>
      </c>
      <c r="L371" s="4">
        <v>10</v>
      </c>
      <c r="O371" s="4">
        <v>10</v>
      </c>
      <c r="P371" s="4">
        <v>10</v>
      </c>
      <c r="AC371" s="4">
        <v>10</v>
      </c>
      <c r="AD371" s="4">
        <v>10</v>
      </c>
      <c r="AU371" s="4">
        <v>10</v>
      </c>
      <c r="AV371" s="4">
        <v>10</v>
      </c>
      <c r="AY371" s="3" t="s">
        <v>18</v>
      </c>
      <c r="AZ371" s="3" t="s">
        <v>18</v>
      </c>
      <c r="BA371" s="3" t="s">
        <v>697</v>
      </c>
      <c r="BD371" s="3" t="s">
        <v>618</v>
      </c>
      <c r="BE371" s="3" t="s">
        <v>619</v>
      </c>
      <c r="BF371" s="3" t="s">
        <v>147</v>
      </c>
      <c r="BG371" s="3" t="s">
        <v>28</v>
      </c>
      <c r="BH371" s="3" t="s">
        <v>697</v>
      </c>
    </row>
    <row r="372" spans="1:60" x14ac:dyDescent="0.3">
      <c r="A372" s="3" t="s">
        <v>1141</v>
      </c>
      <c r="B372" s="3" t="s">
        <v>16</v>
      </c>
      <c r="C372" s="3">
        <v>17</v>
      </c>
      <c r="D372" s="3">
        <v>10</v>
      </c>
      <c r="E372" s="4">
        <v>10</v>
      </c>
      <c r="F372" s="4">
        <v>10</v>
      </c>
      <c r="I372" s="4">
        <v>10</v>
      </c>
      <c r="J372" s="4">
        <v>10</v>
      </c>
      <c r="K372" s="4">
        <v>10</v>
      </c>
      <c r="L372" s="4">
        <v>10</v>
      </c>
      <c r="O372" s="4">
        <v>10</v>
      </c>
      <c r="P372" s="4">
        <v>10</v>
      </c>
      <c r="AC372" s="4">
        <v>10</v>
      </c>
      <c r="AD372" s="4">
        <v>10</v>
      </c>
      <c r="AU372" s="4">
        <v>10</v>
      </c>
      <c r="AV372" s="4">
        <v>10</v>
      </c>
      <c r="AY372" s="3" t="s">
        <v>22</v>
      </c>
      <c r="AZ372" s="3" t="s">
        <v>22</v>
      </c>
      <c r="BD372" s="3" t="s">
        <v>656</v>
      </c>
      <c r="BE372" s="3" t="s">
        <v>623</v>
      </c>
      <c r="BF372" s="3" t="s">
        <v>843</v>
      </c>
      <c r="BG372" s="3" t="s">
        <v>844</v>
      </c>
    </row>
    <row r="373" spans="1:60" x14ac:dyDescent="0.3">
      <c r="A373" s="3" t="s">
        <v>1141</v>
      </c>
      <c r="B373" s="3" t="s">
        <v>16</v>
      </c>
      <c r="C373" s="3">
        <v>16</v>
      </c>
      <c r="D373" s="3">
        <v>10</v>
      </c>
      <c r="E373" s="4">
        <v>10</v>
      </c>
      <c r="F373" s="4">
        <v>10</v>
      </c>
      <c r="I373" s="4">
        <v>10</v>
      </c>
      <c r="J373" s="4">
        <v>10</v>
      </c>
      <c r="K373" s="4">
        <v>10</v>
      </c>
      <c r="L373" s="4">
        <v>10</v>
      </c>
      <c r="O373" s="4">
        <v>10</v>
      </c>
      <c r="P373" s="4">
        <v>10</v>
      </c>
      <c r="AC373" s="4">
        <v>10</v>
      </c>
      <c r="AD373" s="4">
        <v>10</v>
      </c>
      <c r="AU373" s="4">
        <v>10</v>
      </c>
      <c r="AV373" s="4">
        <v>10</v>
      </c>
      <c r="AY373" s="3" t="s">
        <v>18</v>
      </c>
      <c r="AZ373" s="3" t="s">
        <v>18</v>
      </c>
      <c r="BD373" s="3" t="s">
        <v>618</v>
      </c>
      <c r="BE373" s="3" t="s">
        <v>623</v>
      </c>
      <c r="BF373" s="3" t="s">
        <v>845</v>
      </c>
      <c r="BG373" s="3" t="s">
        <v>28</v>
      </c>
      <c r="BH373" s="3" t="s">
        <v>28</v>
      </c>
    </row>
    <row r="374" spans="1:60" x14ac:dyDescent="0.3">
      <c r="A374" s="3" t="s">
        <v>1141</v>
      </c>
      <c r="B374" s="3" t="s">
        <v>26</v>
      </c>
      <c r="C374" s="3">
        <v>16</v>
      </c>
      <c r="D374" s="3">
        <v>10</v>
      </c>
      <c r="E374" s="4">
        <v>10</v>
      </c>
      <c r="F374" s="4">
        <v>10</v>
      </c>
      <c r="I374" s="4">
        <v>10</v>
      </c>
      <c r="J374" s="4">
        <v>10</v>
      </c>
      <c r="K374" s="4">
        <v>10</v>
      </c>
      <c r="L374" s="4">
        <v>10</v>
      </c>
      <c r="O374" s="4">
        <v>10</v>
      </c>
      <c r="P374" s="4">
        <v>10</v>
      </c>
      <c r="AC374" s="4">
        <v>10</v>
      </c>
      <c r="AD374" s="4">
        <v>10</v>
      </c>
      <c r="AU374" s="4">
        <v>10</v>
      </c>
      <c r="AV374" s="4">
        <v>10</v>
      </c>
      <c r="AY374" s="3" t="s">
        <v>18</v>
      </c>
      <c r="AZ374" s="3" t="s">
        <v>22</v>
      </c>
      <c r="BD374" s="3" t="s">
        <v>656</v>
      </c>
      <c r="BE374" s="3" t="s">
        <v>623</v>
      </c>
      <c r="BF374" s="3" t="s">
        <v>178</v>
      </c>
      <c r="BG374" s="3" t="s">
        <v>28</v>
      </c>
      <c r="BH374" s="3" t="s">
        <v>846</v>
      </c>
    </row>
    <row r="375" spans="1:60" x14ac:dyDescent="0.3">
      <c r="A375" s="3" t="s">
        <v>1141</v>
      </c>
      <c r="B375" s="3" t="s">
        <v>26</v>
      </c>
      <c r="C375" s="3">
        <v>16</v>
      </c>
      <c r="D375" s="3">
        <v>10</v>
      </c>
      <c r="E375" s="4">
        <v>10</v>
      </c>
      <c r="F375" s="4">
        <v>10</v>
      </c>
      <c r="I375" s="4">
        <v>10</v>
      </c>
      <c r="J375" s="4">
        <v>10</v>
      </c>
      <c r="K375" s="4">
        <v>10</v>
      </c>
      <c r="L375" s="4">
        <v>10</v>
      </c>
      <c r="O375" s="4">
        <v>10</v>
      </c>
      <c r="P375" s="4">
        <v>10</v>
      </c>
      <c r="AC375" s="4">
        <v>10</v>
      </c>
      <c r="AD375" s="4">
        <v>10</v>
      </c>
      <c r="AU375" s="4">
        <v>10</v>
      </c>
      <c r="AV375" s="4">
        <v>10</v>
      </c>
      <c r="AY375" s="3" t="s">
        <v>22</v>
      </c>
      <c r="AZ375" s="3" t="s">
        <v>22</v>
      </c>
      <c r="BD375" s="3" t="s">
        <v>618</v>
      </c>
      <c r="BE375" s="3" t="s">
        <v>623</v>
      </c>
      <c r="BF375" s="3" t="s">
        <v>86</v>
      </c>
      <c r="BG375" s="3" t="s">
        <v>241</v>
      </c>
      <c r="BH375" s="3" t="s">
        <v>847</v>
      </c>
    </row>
    <row r="376" spans="1:60" x14ac:dyDescent="0.3">
      <c r="A376" s="3" t="s">
        <v>1141</v>
      </c>
      <c r="B376" s="3" t="s">
        <v>16</v>
      </c>
      <c r="C376" s="3">
        <v>17</v>
      </c>
      <c r="D376" s="3">
        <v>10</v>
      </c>
      <c r="E376" s="4">
        <v>10</v>
      </c>
      <c r="F376" s="4">
        <v>10</v>
      </c>
      <c r="I376" s="4">
        <v>10</v>
      </c>
      <c r="J376" s="4">
        <v>10</v>
      </c>
      <c r="K376" s="4">
        <v>10</v>
      </c>
      <c r="L376" s="4">
        <v>10</v>
      </c>
      <c r="O376" s="4">
        <v>8</v>
      </c>
      <c r="P376" s="4">
        <v>8</v>
      </c>
      <c r="AC376" s="4">
        <v>9</v>
      </c>
      <c r="AD376" s="4">
        <v>9</v>
      </c>
      <c r="AU376" s="4">
        <v>10</v>
      </c>
      <c r="AV376" s="4">
        <v>10</v>
      </c>
      <c r="AY376" s="3" t="s">
        <v>17</v>
      </c>
      <c r="BB376" s="3" t="s">
        <v>18</v>
      </c>
      <c r="BC376" s="3" t="s">
        <v>22</v>
      </c>
      <c r="BD376" s="3" t="s">
        <v>615</v>
      </c>
      <c r="BE376" s="3" t="s">
        <v>623</v>
      </c>
      <c r="BF376" s="3" t="s">
        <v>848</v>
      </c>
      <c r="BG376" s="3" t="s">
        <v>849</v>
      </c>
      <c r="BH376" s="3" t="s">
        <v>849</v>
      </c>
    </row>
    <row r="377" spans="1:60" x14ac:dyDescent="0.3">
      <c r="A377" s="3" t="s">
        <v>1141</v>
      </c>
      <c r="B377" s="3" t="s">
        <v>26</v>
      </c>
      <c r="C377" s="3">
        <v>16</v>
      </c>
      <c r="D377" s="3">
        <v>9</v>
      </c>
      <c r="E377" s="4">
        <v>10</v>
      </c>
      <c r="F377" s="4">
        <v>10</v>
      </c>
      <c r="I377" s="4">
        <v>9</v>
      </c>
      <c r="J377" s="4">
        <v>9</v>
      </c>
      <c r="K377" s="4">
        <v>10</v>
      </c>
      <c r="L377" s="4">
        <v>10</v>
      </c>
      <c r="O377" s="4">
        <v>9</v>
      </c>
      <c r="P377" s="4">
        <v>9</v>
      </c>
      <c r="AC377" s="4">
        <v>10</v>
      </c>
      <c r="AD377" s="4">
        <v>10</v>
      </c>
      <c r="AU377" s="4">
        <v>6</v>
      </c>
      <c r="AV377" s="4">
        <v>6</v>
      </c>
      <c r="AY377" s="3" t="s">
        <v>22</v>
      </c>
      <c r="AZ377" s="3" t="s">
        <v>22</v>
      </c>
      <c r="BD377" s="3" t="s">
        <v>656</v>
      </c>
      <c r="BE377" s="3" t="s">
        <v>623</v>
      </c>
      <c r="BF377" s="3" t="s">
        <v>850</v>
      </c>
      <c r="BG377" s="3" t="s">
        <v>851</v>
      </c>
      <c r="BH377" s="3" t="s">
        <v>852</v>
      </c>
    </row>
    <row r="378" spans="1:60" x14ac:dyDescent="0.3">
      <c r="A378" s="3" t="s">
        <v>1141</v>
      </c>
      <c r="B378" s="3" t="s">
        <v>26</v>
      </c>
      <c r="C378" s="3">
        <v>16</v>
      </c>
      <c r="D378" s="3">
        <v>9</v>
      </c>
      <c r="E378" s="4">
        <v>10</v>
      </c>
      <c r="F378" s="4">
        <v>9</v>
      </c>
      <c r="I378" s="4">
        <v>10</v>
      </c>
      <c r="J378" s="4">
        <v>6</v>
      </c>
      <c r="K378" s="4">
        <v>10</v>
      </c>
      <c r="L378" s="4">
        <v>10</v>
      </c>
      <c r="O378" s="4">
        <v>10</v>
      </c>
      <c r="P378" s="4">
        <v>8</v>
      </c>
      <c r="AC378" s="4">
        <v>9</v>
      </c>
      <c r="AD378" s="4">
        <v>9</v>
      </c>
      <c r="AU378" s="4">
        <v>10</v>
      </c>
      <c r="AV378" s="4">
        <v>9</v>
      </c>
      <c r="AY378" s="3" t="s">
        <v>22</v>
      </c>
      <c r="AZ378" s="3" t="s">
        <v>22</v>
      </c>
      <c r="BD378" s="3" t="s">
        <v>656</v>
      </c>
      <c r="BE378" s="3" t="s">
        <v>623</v>
      </c>
      <c r="BF378" s="3" t="s">
        <v>196</v>
      </c>
      <c r="BG378" s="3" t="s">
        <v>853</v>
      </c>
    </row>
    <row r="379" spans="1:60" x14ac:dyDescent="0.3">
      <c r="A379" s="3" t="s">
        <v>1141</v>
      </c>
      <c r="B379" s="3" t="s">
        <v>16</v>
      </c>
      <c r="C379" s="3">
        <v>16</v>
      </c>
      <c r="D379" s="3">
        <v>10</v>
      </c>
      <c r="E379" s="4">
        <v>10</v>
      </c>
      <c r="F379" s="4">
        <v>10</v>
      </c>
      <c r="I379" s="4">
        <v>10</v>
      </c>
      <c r="J379" s="4">
        <v>10</v>
      </c>
      <c r="K379" s="4">
        <v>10</v>
      </c>
      <c r="L379" s="4">
        <v>10</v>
      </c>
      <c r="O379" s="4">
        <v>10</v>
      </c>
      <c r="P379" s="4">
        <v>10</v>
      </c>
      <c r="AC379" s="4">
        <v>10</v>
      </c>
      <c r="AD379" s="4">
        <v>10</v>
      </c>
      <c r="AU379" s="4">
        <v>10</v>
      </c>
      <c r="AV379" s="4">
        <v>10</v>
      </c>
      <c r="AY379" s="3" t="s">
        <v>18</v>
      </c>
      <c r="AZ379" s="3" t="s">
        <v>18</v>
      </c>
      <c r="BD379" s="3" t="s">
        <v>618</v>
      </c>
      <c r="BE379" s="3" t="s">
        <v>619</v>
      </c>
      <c r="BF379" s="3" t="s">
        <v>854</v>
      </c>
      <c r="BG379" s="3" t="s">
        <v>24</v>
      </c>
    </row>
    <row r="380" spans="1:60" x14ac:dyDescent="0.3">
      <c r="A380" s="3" t="s">
        <v>1141</v>
      </c>
      <c r="B380" s="3" t="s">
        <v>26</v>
      </c>
      <c r="C380" s="3">
        <v>17</v>
      </c>
      <c r="D380" s="3">
        <v>10</v>
      </c>
      <c r="E380" s="4">
        <v>10</v>
      </c>
      <c r="F380" s="4">
        <v>10</v>
      </c>
      <c r="I380" s="4">
        <v>10</v>
      </c>
      <c r="J380" s="4">
        <v>10</v>
      </c>
      <c r="K380" s="4">
        <v>10</v>
      </c>
      <c r="L380" s="4">
        <v>10</v>
      </c>
      <c r="O380" s="4">
        <v>10</v>
      </c>
      <c r="P380" s="4">
        <v>10</v>
      </c>
      <c r="AC380" s="4">
        <v>10</v>
      </c>
      <c r="AD380" s="4">
        <v>10</v>
      </c>
      <c r="AU380" s="4">
        <v>10</v>
      </c>
      <c r="AV380" s="4">
        <v>10</v>
      </c>
      <c r="AY380" s="3" t="s">
        <v>22</v>
      </c>
      <c r="AZ380" s="3" t="s">
        <v>22</v>
      </c>
      <c r="BD380" s="3" t="s">
        <v>656</v>
      </c>
      <c r="BE380" s="3" t="s">
        <v>623</v>
      </c>
      <c r="BF380" s="3" t="s">
        <v>855</v>
      </c>
      <c r="BG380" s="3" t="s">
        <v>856</v>
      </c>
    </row>
    <row r="381" spans="1:60" x14ac:dyDescent="0.3">
      <c r="A381" s="3" t="s">
        <v>1141</v>
      </c>
      <c r="B381" s="3" t="s">
        <v>26</v>
      </c>
      <c r="C381" s="3">
        <v>16</v>
      </c>
      <c r="D381" s="3">
        <v>10</v>
      </c>
      <c r="E381" s="4">
        <v>10</v>
      </c>
      <c r="F381" s="4">
        <v>8</v>
      </c>
      <c r="I381" s="4">
        <v>1</v>
      </c>
      <c r="J381" s="4">
        <v>1</v>
      </c>
      <c r="K381" s="4">
        <v>10</v>
      </c>
      <c r="L381" s="4">
        <v>10</v>
      </c>
      <c r="O381" s="4">
        <v>10</v>
      </c>
      <c r="P381" s="4">
        <v>10</v>
      </c>
      <c r="AC381" s="4">
        <v>10</v>
      </c>
      <c r="AD381" s="4">
        <v>10</v>
      </c>
      <c r="AU381" s="4">
        <v>7</v>
      </c>
      <c r="AV381" s="4">
        <v>7</v>
      </c>
      <c r="AY381" s="3" t="s">
        <v>18</v>
      </c>
      <c r="AZ381" s="3" t="s">
        <v>18</v>
      </c>
      <c r="BA381" s="3" t="s">
        <v>857</v>
      </c>
      <c r="BD381" s="3" t="s">
        <v>656</v>
      </c>
      <c r="BE381" s="3" t="s">
        <v>619</v>
      </c>
      <c r="BF381" s="3" t="s">
        <v>147</v>
      </c>
      <c r="BG381" s="3" t="s">
        <v>858</v>
      </c>
    </row>
    <row r="382" spans="1:60" x14ac:dyDescent="0.3">
      <c r="A382" s="3" t="s">
        <v>1141</v>
      </c>
      <c r="B382" s="3" t="s">
        <v>16</v>
      </c>
      <c r="C382" s="3">
        <v>17</v>
      </c>
      <c r="D382" s="3">
        <v>10</v>
      </c>
      <c r="E382" s="4">
        <v>10</v>
      </c>
      <c r="F382" s="4">
        <v>10</v>
      </c>
      <c r="I382" s="4">
        <v>10</v>
      </c>
      <c r="J382" s="4">
        <v>10</v>
      </c>
      <c r="K382" s="4">
        <v>9</v>
      </c>
      <c r="L382" s="4">
        <v>10</v>
      </c>
      <c r="O382" s="4">
        <v>10</v>
      </c>
      <c r="P382" s="4">
        <v>10</v>
      </c>
      <c r="AC382" s="4">
        <v>10</v>
      </c>
      <c r="AD382" s="4">
        <v>10</v>
      </c>
      <c r="AU382" s="4">
        <v>10</v>
      </c>
      <c r="AV382" s="4">
        <v>10</v>
      </c>
      <c r="AY382" s="3" t="s">
        <v>18</v>
      </c>
      <c r="AZ382" s="3" t="s">
        <v>18</v>
      </c>
      <c r="BD382" s="3" t="s">
        <v>615</v>
      </c>
      <c r="BE382" s="3" t="s">
        <v>623</v>
      </c>
      <c r="BF382" s="3" t="s">
        <v>859</v>
      </c>
      <c r="BG382" s="3" t="s">
        <v>28</v>
      </c>
      <c r="BH382" s="3" t="s">
        <v>17</v>
      </c>
    </row>
    <row r="383" spans="1:60" x14ac:dyDescent="0.3">
      <c r="A383" s="3" t="s">
        <v>1141</v>
      </c>
      <c r="B383" s="3" t="s">
        <v>26</v>
      </c>
      <c r="C383" s="3">
        <v>17</v>
      </c>
      <c r="D383" s="3">
        <v>10</v>
      </c>
      <c r="E383" s="4">
        <v>9</v>
      </c>
      <c r="F383" s="4">
        <v>10</v>
      </c>
      <c r="I383" s="4">
        <v>6</v>
      </c>
      <c r="J383" s="4">
        <v>8</v>
      </c>
      <c r="K383" s="4">
        <v>7</v>
      </c>
      <c r="L383" s="4">
        <v>9</v>
      </c>
      <c r="O383" s="4">
        <v>8</v>
      </c>
      <c r="P383" s="4">
        <v>9</v>
      </c>
      <c r="AC383" s="4">
        <v>8</v>
      </c>
      <c r="AD383" s="4">
        <v>9</v>
      </c>
      <c r="AU383" s="4">
        <v>9</v>
      </c>
      <c r="AV383" s="4">
        <v>5</v>
      </c>
      <c r="AY383" s="3" t="s">
        <v>22</v>
      </c>
      <c r="AZ383" s="3" t="s">
        <v>18</v>
      </c>
      <c r="BD383" s="3" t="s">
        <v>656</v>
      </c>
      <c r="BE383" s="3" t="s">
        <v>623</v>
      </c>
      <c r="BF383" s="3" t="s">
        <v>860</v>
      </c>
      <c r="BG383" s="3" t="s">
        <v>236</v>
      </c>
    </row>
    <row r="384" spans="1:60" x14ac:dyDescent="0.3">
      <c r="A384" s="3" t="s">
        <v>1141</v>
      </c>
      <c r="B384" s="3" t="s">
        <v>26</v>
      </c>
      <c r="C384" s="3">
        <v>17</v>
      </c>
      <c r="D384" s="3">
        <v>10</v>
      </c>
      <c r="E384" s="4">
        <v>9</v>
      </c>
      <c r="F384" s="4">
        <v>10</v>
      </c>
      <c r="I384" s="4">
        <v>10</v>
      </c>
      <c r="J384" s="4">
        <v>10</v>
      </c>
      <c r="K384" s="4">
        <v>10</v>
      </c>
      <c r="L384" s="4">
        <v>10</v>
      </c>
      <c r="O384" s="4">
        <v>10</v>
      </c>
      <c r="P384" s="4">
        <v>10</v>
      </c>
      <c r="AC384" s="4">
        <v>10</v>
      </c>
      <c r="AD384" s="4">
        <v>10</v>
      </c>
      <c r="AU384" s="4">
        <v>10</v>
      </c>
      <c r="AV384" s="4">
        <v>10</v>
      </c>
      <c r="AY384" s="3" t="s">
        <v>18</v>
      </c>
      <c r="AZ384" s="3" t="s">
        <v>18</v>
      </c>
      <c r="BD384" s="3" t="s">
        <v>618</v>
      </c>
      <c r="BE384" s="3" t="s">
        <v>623</v>
      </c>
      <c r="BF384" s="3" t="s">
        <v>861</v>
      </c>
      <c r="BG384" s="3" t="s">
        <v>24</v>
      </c>
      <c r="BH384" s="3" t="s">
        <v>862</v>
      </c>
    </row>
    <row r="385" spans="1:60" x14ac:dyDescent="0.3">
      <c r="A385" s="3" t="s">
        <v>1141</v>
      </c>
      <c r="B385" s="3" t="s">
        <v>16</v>
      </c>
      <c r="C385" s="3">
        <v>16</v>
      </c>
      <c r="D385" s="3">
        <v>10</v>
      </c>
      <c r="E385" s="4">
        <v>10</v>
      </c>
      <c r="F385" s="4">
        <v>10</v>
      </c>
      <c r="I385" s="4">
        <v>10</v>
      </c>
      <c r="J385" s="4">
        <v>10</v>
      </c>
      <c r="K385" s="4">
        <v>10</v>
      </c>
      <c r="L385" s="4">
        <v>10</v>
      </c>
      <c r="O385" s="4">
        <v>10</v>
      </c>
      <c r="P385" s="4">
        <v>10</v>
      </c>
      <c r="AC385" s="4">
        <v>10</v>
      </c>
      <c r="AD385" s="4">
        <v>10</v>
      </c>
      <c r="AU385" s="4">
        <v>10</v>
      </c>
      <c r="AV385" s="4">
        <v>10</v>
      </c>
      <c r="AY385" s="3" t="s">
        <v>18</v>
      </c>
      <c r="AZ385" s="3" t="s">
        <v>18</v>
      </c>
      <c r="BD385" s="3" t="s">
        <v>615</v>
      </c>
      <c r="BE385" s="3" t="s">
        <v>623</v>
      </c>
      <c r="BF385" s="3" t="s">
        <v>147</v>
      </c>
      <c r="BG385" s="3" t="s">
        <v>28</v>
      </c>
    </row>
    <row r="386" spans="1:60" x14ac:dyDescent="0.3">
      <c r="A386" s="3" t="s">
        <v>1141</v>
      </c>
      <c r="B386" s="3" t="s">
        <v>26</v>
      </c>
      <c r="C386" s="3">
        <v>16</v>
      </c>
      <c r="D386" s="3">
        <v>9</v>
      </c>
      <c r="E386" s="4">
        <v>9</v>
      </c>
      <c r="F386" s="4">
        <v>9</v>
      </c>
      <c r="I386" s="4">
        <v>9</v>
      </c>
      <c r="J386" s="4">
        <v>9</v>
      </c>
      <c r="K386" s="4">
        <v>9</v>
      </c>
      <c r="L386" s="4">
        <v>9</v>
      </c>
      <c r="O386" s="4">
        <v>9</v>
      </c>
      <c r="P386" s="4">
        <v>9</v>
      </c>
      <c r="AC386" s="4">
        <v>9</v>
      </c>
      <c r="AD386" s="4">
        <v>9</v>
      </c>
      <c r="AU386" s="4">
        <v>9</v>
      </c>
      <c r="AV386" s="4">
        <v>9</v>
      </c>
      <c r="AY386" s="3" t="s">
        <v>17</v>
      </c>
      <c r="BB386" s="3" t="s">
        <v>18</v>
      </c>
      <c r="BC386" s="3" t="s">
        <v>22</v>
      </c>
      <c r="BD386" s="3" t="s">
        <v>615</v>
      </c>
      <c r="BE386" s="3" t="s">
        <v>623</v>
      </c>
      <c r="BF386" s="3" t="s">
        <v>265</v>
      </c>
      <c r="BG386" s="3" t="s">
        <v>93</v>
      </c>
      <c r="BH386" s="3" t="s">
        <v>863</v>
      </c>
    </row>
    <row r="387" spans="1:60" x14ac:dyDescent="0.3">
      <c r="A387" s="3" t="s">
        <v>1141</v>
      </c>
      <c r="B387" s="3" t="s">
        <v>26</v>
      </c>
      <c r="C387" s="3">
        <v>17</v>
      </c>
      <c r="D387" s="3">
        <v>10</v>
      </c>
      <c r="E387" s="4">
        <v>9</v>
      </c>
      <c r="F387" s="4">
        <v>10</v>
      </c>
      <c r="I387" s="4">
        <v>10</v>
      </c>
      <c r="J387" s="4">
        <v>10</v>
      </c>
      <c r="K387" s="4">
        <v>10</v>
      </c>
      <c r="L387" s="4">
        <v>10</v>
      </c>
      <c r="O387" s="4">
        <v>10</v>
      </c>
      <c r="P387" s="4">
        <v>9</v>
      </c>
      <c r="AC387" s="4">
        <v>10</v>
      </c>
      <c r="AD387" s="4">
        <v>10</v>
      </c>
      <c r="AU387" s="4">
        <v>8</v>
      </c>
      <c r="AV387" s="4">
        <v>8</v>
      </c>
      <c r="AY387" s="3" t="s">
        <v>22</v>
      </c>
      <c r="AZ387" s="3" t="s">
        <v>22</v>
      </c>
      <c r="BA387" s="3" t="s">
        <v>864</v>
      </c>
      <c r="BD387" s="3" t="s">
        <v>656</v>
      </c>
      <c r="BE387" s="3" t="s">
        <v>623</v>
      </c>
      <c r="BF387" s="3" t="s">
        <v>74</v>
      </c>
      <c r="BG387" s="3" t="s">
        <v>865</v>
      </c>
    </row>
    <row r="388" spans="1:60" x14ac:dyDescent="0.3">
      <c r="A388" s="3" t="s">
        <v>1141</v>
      </c>
      <c r="B388" s="3" t="s">
        <v>26</v>
      </c>
      <c r="C388" s="3">
        <v>17</v>
      </c>
      <c r="D388" s="3">
        <v>10</v>
      </c>
      <c r="E388" s="4">
        <v>10</v>
      </c>
      <c r="F388" s="4">
        <v>10</v>
      </c>
      <c r="I388" s="4">
        <v>10</v>
      </c>
      <c r="J388" s="4">
        <v>10</v>
      </c>
      <c r="K388" s="4">
        <v>10</v>
      </c>
      <c r="L388" s="4">
        <v>10</v>
      </c>
      <c r="O388" s="4">
        <v>10</v>
      </c>
      <c r="P388" s="4">
        <v>10</v>
      </c>
      <c r="AC388" s="4">
        <v>10</v>
      </c>
      <c r="AD388" s="4">
        <v>10</v>
      </c>
      <c r="AU388" s="4">
        <v>10</v>
      </c>
      <c r="AV388" s="4">
        <v>10</v>
      </c>
      <c r="AY388" s="3" t="s">
        <v>22</v>
      </c>
      <c r="AZ388" s="3" t="s">
        <v>22</v>
      </c>
      <c r="BD388" s="3" t="s">
        <v>618</v>
      </c>
      <c r="BE388" s="3" t="s">
        <v>623</v>
      </c>
      <c r="BF388" s="3" t="s">
        <v>866</v>
      </c>
      <c r="BG388" s="3" t="s">
        <v>867</v>
      </c>
      <c r="BH388" s="3" t="s">
        <v>28</v>
      </c>
    </row>
    <row r="389" spans="1:60" x14ac:dyDescent="0.3">
      <c r="A389" s="3" t="s">
        <v>1141</v>
      </c>
      <c r="B389" s="3" t="s">
        <v>26</v>
      </c>
      <c r="C389" s="3">
        <v>18</v>
      </c>
      <c r="D389" s="3">
        <v>8</v>
      </c>
      <c r="E389" s="4">
        <v>7</v>
      </c>
      <c r="F389" s="4">
        <v>7</v>
      </c>
      <c r="I389" s="4">
        <v>8</v>
      </c>
      <c r="J389" s="4">
        <v>8</v>
      </c>
      <c r="K389" s="4">
        <v>8</v>
      </c>
      <c r="L389" s="4">
        <v>8</v>
      </c>
      <c r="O389" s="4">
        <v>8</v>
      </c>
      <c r="P389" s="4">
        <v>9</v>
      </c>
      <c r="AC389" s="4">
        <v>8</v>
      </c>
      <c r="AD389" s="4">
        <v>8</v>
      </c>
      <c r="AU389" s="4">
        <v>9</v>
      </c>
      <c r="AV389" s="4">
        <v>9</v>
      </c>
      <c r="AY389" s="3" t="s">
        <v>18</v>
      </c>
      <c r="AZ389" s="3" t="s">
        <v>18</v>
      </c>
      <c r="BA389" s="3" t="s">
        <v>697</v>
      </c>
      <c r="BD389" s="3" t="s">
        <v>615</v>
      </c>
      <c r="BE389" s="3" t="s">
        <v>623</v>
      </c>
      <c r="BF389" s="3" t="s">
        <v>86</v>
      </c>
      <c r="BG389" s="3" t="s">
        <v>537</v>
      </c>
      <c r="BH389" s="3" t="s">
        <v>47</v>
      </c>
    </row>
    <row r="390" spans="1:60" x14ac:dyDescent="0.3">
      <c r="A390" s="3" t="s">
        <v>1141</v>
      </c>
      <c r="B390" s="3" t="s">
        <v>26</v>
      </c>
      <c r="C390" s="3">
        <v>17</v>
      </c>
      <c r="D390" s="3">
        <v>8</v>
      </c>
      <c r="E390" s="4">
        <v>8</v>
      </c>
      <c r="F390" s="4">
        <v>8</v>
      </c>
      <c r="I390" s="4">
        <v>8</v>
      </c>
      <c r="J390" s="4">
        <v>8</v>
      </c>
      <c r="K390" s="4">
        <v>8</v>
      </c>
      <c r="L390" s="4">
        <v>8</v>
      </c>
      <c r="O390" s="4">
        <v>8</v>
      </c>
      <c r="P390" s="4">
        <v>8</v>
      </c>
      <c r="AC390" s="4">
        <v>8</v>
      </c>
      <c r="AD390" s="4">
        <v>8</v>
      </c>
      <c r="AU390" s="4">
        <v>8</v>
      </c>
      <c r="AV390" s="4">
        <v>8</v>
      </c>
      <c r="AY390" s="3" t="s">
        <v>22</v>
      </c>
      <c r="AZ390" s="3" t="s">
        <v>22</v>
      </c>
      <c r="BD390" s="3" t="s">
        <v>656</v>
      </c>
      <c r="BE390" s="3" t="s">
        <v>623</v>
      </c>
      <c r="BF390" s="3" t="s">
        <v>86</v>
      </c>
      <c r="BG390" s="3" t="s">
        <v>868</v>
      </c>
      <c r="BH390" s="3" t="s">
        <v>47</v>
      </c>
    </row>
    <row r="391" spans="1:60" x14ac:dyDescent="0.3">
      <c r="A391" s="3" t="s">
        <v>1141</v>
      </c>
      <c r="B391" s="3" t="s">
        <v>16</v>
      </c>
      <c r="C391" s="3">
        <v>17</v>
      </c>
      <c r="D391" s="3">
        <v>8</v>
      </c>
      <c r="E391" s="4">
        <v>10</v>
      </c>
      <c r="F391" s="4">
        <v>10</v>
      </c>
      <c r="I391" s="4">
        <v>10</v>
      </c>
      <c r="J391" s="4">
        <v>10</v>
      </c>
      <c r="K391" s="4">
        <v>10</v>
      </c>
      <c r="L391" s="4">
        <v>10</v>
      </c>
      <c r="O391" s="4">
        <v>10</v>
      </c>
      <c r="P391" s="4">
        <v>10</v>
      </c>
      <c r="AC391" s="4">
        <v>10</v>
      </c>
      <c r="AD391" s="4">
        <v>10</v>
      </c>
      <c r="AU391" s="4">
        <v>10</v>
      </c>
      <c r="AV391" s="4">
        <v>10</v>
      </c>
      <c r="AY391" s="3" t="s">
        <v>18</v>
      </c>
      <c r="AZ391" s="3" t="s">
        <v>18</v>
      </c>
      <c r="BA391" s="3" t="s">
        <v>869</v>
      </c>
      <c r="BD391" s="3" t="s">
        <v>618</v>
      </c>
      <c r="BE391" s="3" t="s">
        <v>623</v>
      </c>
      <c r="BF391" s="3" t="s">
        <v>870</v>
      </c>
      <c r="BG391" s="3" t="s">
        <v>871</v>
      </c>
      <c r="BH391" s="3" t="s">
        <v>872</v>
      </c>
    </row>
    <row r="392" spans="1:60" x14ac:dyDescent="0.3">
      <c r="A392" s="3" t="s">
        <v>1141</v>
      </c>
      <c r="B392" s="3" t="s">
        <v>16</v>
      </c>
      <c r="C392" s="3">
        <v>17</v>
      </c>
      <c r="D392" s="3">
        <v>9</v>
      </c>
      <c r="E392" s="4">
        <v>7</v>
      </c>
      <c r="F392" s="4">
        <v>8</v>
      </c>
      <c r="I392" s="4">
        <v>10</v>
      </c>
      <c r="J392" s="4">
        <v>10</v>
      </c>
      <c r="K392" s="4">
        <v>10</v>
      </c>
      <c r="L392" s="4">
        <v>10</v>
      </c>
      <c r="O392" s="4">
        <v>8</v>
      </c>
      <c r="P392" s="4">
        <v>8</v>
      </c>
      <c r="AC392" s="4">
        <v>10</v>
      </c>
      <c r="AD392" s="4">
        <v>10</v>
      </c>
      <c r="AU392" s="4">
        <v>9</v>
      </c>
      <c r="AV392" s="4">
        <v>10</v>
      </c>
      <c r="AY392" s="3" t="s">
        <v>18</v>
      </c>
      <c r="AZ392" s="3" t="s">
        <v>17</v>
      </c>
      <c r="BD392" s="3" t="s">
        <v>615</v>
      </c>
      <c r="BE392" s="3" t="s">
        <v>619</v>
      </c>
      <c r="BF392" s="3" t="s">
        <v>147</v>
      </c>
      <c r="BG392" s="3" t="s">
        <v>28</v>
      </c>
    </row>
    <row r="393" spans="1:60" x14ac:dyDescent="0.3">
      <c r="A393" s="3" t="s">
        <v>1141</v>
      </c>
      <c r="B393" s="3" t="s">
        <v>26</v>
      </c>
      <c r="C393" s="3">
        <v>17</v>
      </c>
      <c r="D393" s="3">
        <v>10</v>
      </c>
      <c r="E393" s="4">
        <v>10</v>
      </c>
      <c r="F393" s="4">
        <v>10</v>
      </c>
      <c r="I393" s="4">
        <v>10</v>
      </c>
      <c r="J393" s="4">
        <v>10</v>
      </c>
      <c r="K393" s="4">
        <v>10</v>
      </c>
      <c r="L393" s="4">
        <v>10</v>
      </c>
      <c r="O393" s="4">
        <v>10</v>
      </c>
      <c r="P393" s="4">
        <v>10</v>
      </c>
      <c r="AC393" s="4">
        <v>10</v>
      </c>
      <c r="AD393" s="4">
        <v>10</v>
      </c>
      <c r="AU393" s="4">
        <v>10</v>
      </c>
      <c r="AV393" s="4">
        <v>10</v>
      </c>
      <c r="AY393" s="3" t="s">
        <v>18</v>
      </c>
      <c r="AZ393" s="3" t="s">
        <v>22</v>
      </c>
      <c r="BD393" s="3" t="s">
        <v>618</v>
      </c>
      <c r="BE393" s="3" t="s">
        <v>623</v>
      </c>
      <c r="BF393" s="3" t="s">
        <v>873</v>
      </c>
      <c r="BG393" s="3" t="s">
        <v>93</v>
      </c>
      <c r="BH393" s="3" t="s">
        <v>874</v>
      </c>
    </row>
    <row r="394" spans="1:60" x14ac:dyDescent="0.3">
      <c r="A394" s="3" t="s">
        <v>1141</v>
      </c>
      <c r="B394" s="3" t="s">
        <v>16</v>
      </c>
      <c r="C394" s="3">
        <v>16</v>
      </c>
      <c r="D394" s="3">
        <v>10</v>
      </c>
      <c r="E394" s="4">
        <v>10</v>
      </c>
      <c r="F394" s="4">
        <v>10</v>
      </c>
      <c r="I394" s="4">
        <v>10</v>
      </c>
      <c r="J394" s="4">
        <v>10</v>
      </c>
      <c r="K394" s="4">
        <v>10</v>
      </c>
      <c r="L394" s="4">
        <v>10</v>
      </c>
      <c r="O394" s="4">
        <v>10</v>
      </c>
      <c r="P394" s="4">
        <v>10</v>
      </c>
      <c r="AC394" s="4">
        <v>10</v>
      </c>
      <c r="AD394" s="4">
        <v>10</v>
      </c>
      <c r="AU394" s="4">
        <v>10</v>
      </c>
      <c r="AV394" s="4">
        <v>10</v>
      </c>
      <c r="AY394" s="3" t="s">
        <v>18</v>
      </c>
      <c r="AZ394" s="3" t="s">
        <v>18</v>
      </c>
      <c r="BD394" s="3" t="s">
        <v>618</v>
      </c>
      <c r="BE394" s="3" t="s">
        <v>623</v>
      </c>
      <c r="BF394" s="3" t="s">
        <v>875</v>
      </c>
      <c r="BG394" s="3" t="s">
        <v>24</v>
      </c>
    </row>
    <row r="395" spans="1:60" x14ac:dyDescent="0.3">
      <c r="A395" s="3" t="s">
        <v>1141</v>
      </c>
      <c r="B395" s="3" t="s">
        <v>26</v>
      </c>
      <c r="C395" s="3">
        <v>16</v>
      </c>
      <c r="D395" s="3">
        <v>10</v>
      </c>
      <c r="E395" s="4">
        <v>9</v>
      </c>
      <c r="F395" s="4">
        <v>9</v>
      </c>
      <c r="I395" s="4">
        <v>10</v>
      </c>
      <c r="J395" s="4">
        <v>9</v>
      </c>
      <c r="K395" s="4">
        <v>10</v>
      </c>
      <c r="L395" s="4">
        <v>10</v>
      </c>
      <c r="O395" s="4">
        <v>9</v>
      </c>
      <c r="P395" s="4">
        <v>9</v>
      </c>
      <c r="AC395" s="4">
        <v>9</v>
      </c>
      <c r="AD395" s="4">
        <v>10</v>
      </c>
      <c r="AU395" s="4">
        <v>10</v>
      </c>
      <c r="AV395" s="4">
        <v>10</v>
      </c>
      <c r="AY395" s="3" t="s">
        <v>22</v>
      </c>
      <c r="AZ395" s="3" t="s">
        <v>22</v>
      </c>
      <c r="BD395" s="3" t="s">
        <v>656</v>
      </c>
      <c r="BE395" s="3" t="s">
        <v>623</v>
      </c>
      <c r="BF395" s="3" t="s">
        <v>876</v>
      </c>
      <c r="BG395" s="3" t="s">
        <v>28</v>
      </c>
      <c r="BH395" s="3" t="s">
        <v>877</v>
      </c>
    </row>
    <row r="396" spans="1:60" x14ac:dyDescent="0.3">
      <c r="A396" s="3" t="s">
        <v>1141</v>
      </c>
      <c r="B396" s="3" t="s">
        <v>26</v>
      </c>
      <c r="C396" s="3">
        <v>17</v>
      </c>
      <c r="D396" s="3">
        <v>10</v>
      </c>
      <c r="E396" s="4">
        <v>10</v>
      </c>
      <c r="F396" s="4">
        <v>10</v>
      </c>
      <c r="I396" s="4">
        <v>10</v>
      </c>
      <c r="J396" s="4">
        <v>10</v>
      </c>
      <c r="K396" s="4">
        <v>10</v>
      </c>
      <c r="L396" s="4">
        <v>10</v>
      </c>
      <c r="O396" s="4">
        <v>10</v>
      </c>
      <c r="P396" s="4">
        <v>10</v>
      </c>
      <c r="AC396" s="4">
        <v>10</v>
      </c>
      <c r="AD396" s="4">
        <v>10</v>
      </c>
      <c r="AU396" s="4">
        <v>10</v>
      </c>
      <c r="AV396" s="4">
        <v>10</v>
      </c>
      <c r="AY396" s="3" t="s">
        <v>18</v>
      </c>
      <c r="AZ396" s="3" t="s">
        <v>18</v>
      </c>
      <c r="BD396" s="3" t="s">
        <v>618</v>
      </c>
      <c r="BE396" s="3" t="s">
        <v>619</v>
      </c>
      <c r="BF396" s="3" t="s">
        <v>879</v>
      </c>
      <c r="BG396" s="3" t="s">
        <v>93</v>
      </c>
    </row>
    <row r="397" spans="1:60" x14ac:dyDescent="0.3">
      <c r="A397" s="3" t="s">
        <v>1141</v>
      </c>
      <c r="B397" s="3" t="s">
        <v>26</v>
      </c>
      <c r="C397" s="3">
        <v>15</v>
      </c>
      <c r="D397" s="3">
        <v>9</v>
      </c>
      <c r="E397" s="4">
        <v>10</v>
      </c>
      <c r="F397" s="4">
        <v>10</v>
      </c>
      <c r="I397" s="4">
        <v>10</v>
      </c>
      <c r="J397" s="4">
        <v>10</v>
      </c>
      <c r="K397" s="4">
        <v>10</v>
      </c>
      <c r="L397" s="4">
        <v>10</v>
      </c>
      <c r="O397" s="4">
        <v>7</v>
      </c>
      <c r="P397" s="4">
        <v>9</v>
      </c>
      <c r="AC397" s="4">
        <v>10</v>
      </c>
      <c r="AD397" s="4">
        <v>10</v>
      </c>
      <c r="AU397" s="4">
        <v>10</v>
      </c>
      <c r="AV397" s="4">
        <v>10</v>
      </c>
      <c r="AY397" s="3" t="s">
        <v>22</v>
      </c>
      <c r="AZ397" s="3" t="s">
        <v>22</v>
      </c>
      <c r="BD397" s="3" t="s">
        <v>618</v>
      </c>
      <c r="BE397" s="3" t="s">
        <v>619</v>
      </c>
      <c r="BF397" s="3" t="s">
        <v>196</v>
      </c>
      <c r="BG397" s="3" t="s">
        <v>878</v>
      </c>
    </row>
    <row r="398" spans="1:60" x14ac:dyDescent="0.3">
      <c r="A398" s="3" t="s">
        <v>1141</v>
      </c>
      <c r="B398" s="3" t="s">
        <v>26</v>
      </c>
      <c r="C398" s="3">
        <v>17</v>
      </c>
      <c r="D398" s="3">
        <v>9</v>
      </c>
      <c r="E398" s="4">
        <v>8</v>
      </c>
      <c r="F398" s="4">
        <v>9</v>
      </c>
      <c r="I398" s="4">
        <v>9</v>
      </c>
      <c r="J398" s="4">
        <v>9</v>
      </c>
      <c r="K398" s="4">
        <v>8</v>
      </c>
      <c r="L398" s="4">
        <v>9</v>
      </c>
      <c r="O398" s="4">
        <v>8</v>
      </c>
      <c r="P398" s="4">
        <v>9</v>
      </c>
      <c r="AC398" s="4">
        <v>8</v>
      </c>
      <c r="AD398" s="4">
        <v>9</v>
      </c>
      <c r="AU398" s="4">
        <v>8</v>
      </c>
      <c r="AV398" s="4">
        <v>9</v>
      </c>
      <c r="AY398" s="3" t="s">
        <v>18</v>
      </c>
      <c r="AZ398" s="3" t="s">
        <v>18</v>
      </c>
      <c r="BD398" s="3" t="s">
        <v>618</v>
      </c>
      <c r="BE398" s="3" t="s">
        <v>619</v>
      </c>
      <c r="BF398" s="3" t="s">
        <v>880</v>
      </c>
      <c r="BG398" s="3" t="s">
        <v>881</v>
      </c>
      <c r="BH398" s="3" t="s">
        <v>882</v>
      </c>
    </row>
    <row r="399" spans="1:60" x14ac:dyDescent="0.3">
      <c r="A399" s="3" t="s">
        <v>1141</v>
      </c>
      <c r="B399" s="3" t="s">
        <v>16</v>
      </c>
      <c r="C399" s="3">
        <v>18</v>
      </c>
      <c r="D399" s="3">
        <v>10</v>
      </c>
      <c r="E399" s="4">
        <v>10</v>
      </c>
      <c r="F399" s="4">
        <v>10</v>
      </c>
      <c r="I399" s="4">
        <v>10</v>
      </c>
      <c r="J399" s="4">
        <v>10</v>
      </c>
      <c r="K399" s="4">
        <v>10</v>
      </c>
      <c r="L399" s="4">
        <v>10</v>
      </c>
      <c r="O399" s="4">
        <v>10</v>
      </c>
      <c r="P399" s="4">
        <v>10</v>
      </c>
      <c r="AC399" s="4">
        <v>10</v>
      </c>
      <c r="AD399" s="4">
        <v>10</v>
      </c>
      <c r="AU399" s="4">
        <v>9</v>
      </c>
      <c r="AV399" s="4">
        <v>9</v>
      </c>
      <c r="AY399" s="3" t="s">
        <v>22</v>
      </c>
      <c r="AZ399" s="3" t="s">
        <v>22</v>
      </c>
      <c r="BD399" s="3" t="s">
        <v>656</v>
      </c>
      <c r="BE399" s="3" t="s">
        <v>623</v>
      </c>
      <c r="BF399" s="3" t="s">
        <v>883</v>
      </c>
      <c r="BG399" s="3" t="s">
        <v>834</v>
      </c>
      <c r="BH399" s="3" t="s">
        <v>47</v>
      </c>
    </row>
    <row r="400" spans="1:60" x14ac:dyDescent="0.3">
      <c r="A400" s="3" t="s">
        <v>1141</v>
      </c>
      <c r="B400" s="3" t="s">
        <v>26</v>
      </c>
      <c r="C400" s="3">
        <v>17</v>
      </c>
      <c r="D400" s="3">
        <v>10</v>
      </c>
      <c r="E400" s="4">
        <v>10</v>
      </c>
      <c r="F400" s="4">
        <v>10</v>
      </c>
      <c r="I400" s="4">
        <v>10</v>
      </c>
      <c r="J400" s="4">
        <v>8</v>
      </c>
      <c r="K400" s="4">
        <v>10</v>
      </c>
      <c r="L400" s="4">
        <v>8</v>
      </c>
      <c r="O400" s="4">
        <v>10</v>
      </c>
      <c r="P400" s="4">
        <v>10</v>
      </c>
      <c r="AC400" s="4">
        <v>10</v>
      </c>
      <c r="AD400" s="4">
        <v>10</v>
      </c>
      <c r="AU400" s="4">
        <v>10</v>
      </c>
      <c r="AV400" s="4">
        <v>10</v>
      </c>
      <c r="AY400" s="3" t="s">
        <v>22</v>
      </c>
      <c r="AZ400" s="3" t="s">
        <v>22</v>
      </c>
      <c r="BD400" s="3" t="s">
        <v>656</v>
      </c>
      <c r="BE400" s="3" t="s">
        <v>623</v>
      </c>
      <c r="BF400" s="3" t="s">
        <v>884</v>
      </c>
      <c r="BG400" s="3" t="s">
        <v>885</v>
      </c>
      <c r="BH400" s="3" t="s">
        <v>886</v>
      </c>
    </row>
    <row r="401" spans="1:60" x14ac:dyDescent="0.3">
      <c r="A401" s="3" t="s">
        <v>1141</v>
      </c>
      <c r="B401" s="3" t="s">
        <v>26</v>
      </c>
      <c r="C401" s="3">
        <v>17</v>
      </c>
      <c r="D401" s="3">
        <v>10</v>
      </c>
      <c r="E401" s="4">
        <v>9</v>
      </c>
      <c r="F401" s="4">
        <v>9</v>
      </c>
      <c r="I401" s="4">
        <v>9</v>
      </c>
      <c r="J401" s="4">
        <v>9</v>
      </c>
      <c r="K401" s="4">
        <v>9</v>
      </c>
      <c r="L401" s="4">
        <v>9</v>
      </c>
      <c r="O401" s="4">
        <v>9</v>
      </c>
      <c r="P401" s="4">
        <v>10</v>
      </c>
      <c r="AC401" s="4">
        <v>9</v>
      </c>
      <c r="AD401" s="4">
        <v>10</v>
      </c>
      <c r="AU401" s="4">
        <v>9</v>
      </c>
      <c r="AV401" s="4">
        <v>9</v>
      </c>
      <c r="AY401" s="3" t="s">
        <v>18</v>
      </c>
      <c r="AZ401" s="3" t="s">
        <v>18</v>
      </c>
      <c r="BA401" s="3" t="s">
        <v>697</v>
      </c>
      <c r="BD401" s="3" t="s">
        <v>618</v>
      </c>
      <c r="BE401" s="3" t="s">
        <v>619</v>
      </c>
      <c r="BF401" s="3" t="s">
        <v>887</v>
      </c>
      <c r="BG401" s="3" t="s">
        <v>28</v>
      </c>
    </row>
    <row r="402" spans="1:60" x14ac:dyDescent="0.3">
      <c r="A402" s="3" t="s">
        <v>1141</v>
      </c>
      <c r="B402" s="3" t="s">
        <v>26</v>
      </c>
      <c r="C402" s="3">
        <v>17</v>
      </c>
      <c r="D402" s="3">
        <v>10</v>
      </c>
      <c r="E402" s="4">
        <v>10</v>
      </c>
      <c r="F402" s="4">
        <v>10</v>
      </c>
      <c r="I402" s="4">
        <v>10</v>
      </c>
      <c r="J402" s="4">
        <v>10</v>
      </c>
      <c r="K402" s="4">
        <v>10</v>
      </c>
      <c r="L402" s="4">
        <v>10</v>
      </c>
      <c r="O402" s="4">
        <v>10</v>
      </c>
      <c r="P402" s="4">
        <v>10</v>
      </c>
      <c r="AC402" s="4">
        <v>10</v>
      </c>
      <c r="AD402" s="4">
        <v>10</v>
      </c>
      <c r="AU402" s="4">
        <v>10</v>
      </c>
      <c r="AV402" s="4">
        <v>10</v>
      </c>
      <c r="AY402" s="3" t="s">
        <v>22</v>
      </c>
      <c r="AZ402" s="3" t="s">
        <v>22</v>
      </c>
      <c r="BD402" s="3" t="s">
        <v>656</v>
      </c>
      <c r="BE402" s="3" t="s">
        <v>619</v>
      </c>
      <c r="BF402" s="3" t="s">
        <v>86</v>
      </c>
      <c r="BG402" s="3" t="s">
        <v>868</v>
      </c>
      <c r="BH402" s="3" t="s">
        <v>47</v>
      </c>
    </row>
    <row r="403" spans="1:60" x14ac:dyDescent="0.3">
      <c r="A403" s="3" t="s">
        <v>1141</v>
      </c>
      <c r="B403" s="3" t="s">
        <v>26</v>
      </c>
      <c r="C403" s="3">
        <v>17</v>
      </c>
      <c r="D403" s="3">
        <v>10</v>
      </c>
      <c r="E403" s="4">
        <v>10</v>
      </c>
      <c r="F403" s="4">
        <v>10</v>
      </c>
      <c r="I403" s="4">
        <v>10</v>
      </c>
      <c r="J403" s="4">
        <v>10</v>
      </c>
      <c r="K403" s="4">
        <v>10</v>
      </c>
      <c r="L403" s="4">
        <v>10</v>
      </c>
      <c r="O403" s="4">
        <v>10</v>
      </c>
      <c r="P403" s="4">
        <v>10</v>
      </c>
      <c r="AC403" s="4">
        <v>10</v>
      </c>
      <c r="AD403" s="4">
        <v>10</v>
      </c>
      <c r="AU403" s="4">
        <v>10</v>
      </c>
      <c r="AV403" s="4">
        <v>10</v>
      </c>
      <c r="AY403" s="3" t="s">
        <v>22</v>
      </c>
      <c r="AZ403" s="3" t="s">
        <v>22</v>
      </c>
      <c r="BD403" s="3" t="s">
        <v>656</v>
      </c>
      <c r="BE403" s="3" t="s">
        <v>623</v>
      </c>
      <c r="BF403" s="3" t="s">
        <v>888</v>
      </c>
      <c r="BG403" s="3" t="s">
        <v>889</v>
      </c>
    </row>
    <row r="404" spans="1:60" x14ac:dyDescent="0.3">
      <c r="A404" s="3" t="s">
        <v>1141</v>
      </c>
      <c r="B404" s="3" t="s">
        <v>16</v>
      </c>
      <c r="C404" s="3">
        <v>16</v>
      </c>
      <c r="D404" s="3">
        <v>10</v>
      </c>
      <c r="E404" s="4">
        <v>10</v>
      </c>
      <c r="F404" s="4">
        <v>10</v>
      </c>
      <c r="I404" s="4">
        <v>10</v>
      </c>
      <c r="J404" s="4">
        <v>10</v>
      </c>
      <c r="K404" s="4">
        <v>10</v>
      </c>
      <c r="L404" s="4">
        <v>10</v>
      </c>
      <c r="O404" s="4">
        <v>10</v>
      </c>
      <c r="P404" s="4">
        <v>10</v>
      </c>
      <c r="AC404" s="4">
        <v>10</v>
      </c>
      <c r="AD404" s="4">
        <v>10</v>
      </c>
      <c r="AU404" s="4">
        <v>10</v>
      </c>
      <c r="AV404" s="4">
        <v>10</v>
      </c>
      <c r="AY404" s="3" t="s">
        <v>17</v>
      </c>
      <c r="BB404" s="3" t="s">
        <v>18</v>
      </c>
      <c r="BC404" s="3" t="s">
        <v>22</v>
      </c>
      <c r="BD404" s="3" t="s">
        <v>615</v>
      </c>
      <c r="BE404" s="3" t="s">
        <v>623</v>
      </c>
      <c r="BF404" s="3" t="s">
        <v>890</v>
      </c>
      <c r="BG404" s="3" t="s">
        <v>891</v>
      </c>
      <c r="BH404" s="3" t="s">
        <v>247</v>
      </c>
    </row>
    <row r="405" spans="1:60" x14ac:dyDescent="0.3">
      <c r="A405" s="3" t="s">
        <v>1141</v>
      </c>
      <c r="B405" s="3" t="s">
        <v>16</v>
      </c>
      <c r="C405" s="3">
        <v>16</v>
      </c>
      <c r="D405" s="3">
        <v>10</v>
      </c>
      <c r="E405" s="4">
        <v>10</v>
      </c>
      <c r="F405" s="4">
        <v>9</v>
      </c>
      <c r="I405" s="4">
        <v>10</v>
      </c>
      <c r="J405" s="4">
        <v>10</v>
      </c>
      <c r="K405" s="4">
        <v>10</v>
      </c>
      <c r="L405" s="4">
        <v>10</v>
      </c>
      <c r="O405" s="4">
        <v>10</v>
      </c>
      <c r="P405" s="4">
        <v>10</v>
      </c>
      <c r="AC405" s="4">
        <v>10</v>
      </c>
      <c r="AD405" s="4">
        <v>10</v>
      </c>
      <c r="AU405" s="4">
        <v>10</v>
      </c>
      <c r="AV405" s="4">
        <v>9</v>
      </c>
      <c r="AY405" s="3" t="s">
        <v>17</v>
      </c>
      <c r="BB405" s="3" t="s">
        <v>17</v>
      </c>
      <c r="BC405" s="3" t="s">
        <v>22</v>
      </c>
      <c r="BD405" s="3" t="s">
        <v>615</v>
      </c>
      <c r="BE405" s="3" t="s">
        <v>619</v>
      </c>
      <c r="BF405" s="3" t="s">
        <v>892</v>
      </c>
      <c r="BG405" s="3" t="s">
        <v>893</v>
      </c>
    </row>
    <row r="406" spans="1:60" x14ac:dyDescent="0.3">
      <c r="A406" s="3" t="s">
        <v>1141</v>
      </c>
      <c r="B406" s="3" t="s">
        <v>16</v>
      </c>
      <c r="C406" s="3">
        <v>16</v>
      </c>
      <c r="D406" s="3">
        <v>10</v>
      </c>
      <c r="E406" s="4">
        <v>10</v>
      </c>
      <c r="F406" s="4">
        <v>10</v>
      </c>
      <c r="I406" s="4">
        <v>10</v>
      </c>
      <c r="J406" s="4">
        <v>10</v>
      </c>
      <c r="K406" s="4">
        <v>10</v>
      </c>
      <c r="L406" s="4">
        <v>10</v>
      </c>
      <c r="O406" s="4">
        <v>10</v>
      </c>
      <c r="P406" s="4">
        <v>10</v>
      </c>
      <c r="AC406" s="4">
        <v>10</v>
      </c>
      <c r="AD406" s="4">
        <v>10</v>
      </c>
      <c r="AU406" s="4">
        <v>10</v>
      </c>
      <c r="AV406" s="4">
        <v>10</v>
      </c>
      <c r="AY406" s="3" t="s">
        <v>18</v>
      </c>
      <c r="AZ406" s="3" t="s">
        <v>22</v>
      </c>
      <c r="BD406" s="3" t="s">
        <v>615</v>
      </c>
      <c r="BE406" s="3" t="s">
        <v>623</v>
      </c>
      <c r="BF406" s="3" t="s">
        <v>894</v>
      </c>
      <c r="BG406" s="3" t="s">
        <v>891</v>
      </c>
      <c r="BH406" s="3" t="s">
        <v>24</v>
      </c>
    </row>
    <row r="407" spans="1:60" x14ac:dyDescent="0.3">
      <c r="A407" s="3" t="s">
        <v>1141</v>
      </c>
      <c r="B407" s="3" t="s">
        <v>16</v>
      </c>
      <c r="C407" s="3">
        <v>16</v>
      </c>
      <c r="D407" s="3">
        <v>10</v>
      </c>
      <c r="E407" s="4">
        <v>10</v>
      </c>
      <c r="F407" s="4">
        <v>10</v>
      </c>
      <c r="I407" s="4">
        <v>10</v>
      </c>
      <c r="J407" s="4">
        <v>10</v>
      </c>
      <c r="K407" s="4">
        <v>10</v>
      </c>
      <c r="L407" s="4">
        <v>10</v>
      </c>
      <c r="O407" s="4">
        <v>10</v>
      </c>
      <c r="P407" s="4">
        <v>10</v>
      </c>
      <c r="AC407" s="4">
        <v>10</v>
      </c>
      <c r="AD407" s="4">
        <v>10</v>
      </c>
      <c r="AU407" s="4">
        <v>10</v>
      </c>
      <c r="AV407" s="4">
        <v>10</v>
      </c>
      <c r="AY407" s="3" t="s">
        <v>17</v>
      </c>
      <c r="BB407" s="3" t="s">
        <v>17</v>
      </c>
      <c r="BC407" s="3" t="s">
        <v>22</v>
      </c>
      <c r="BD407" s="3" t="s">
        <v>615</v>
      </c>
      <c r="BE407" s="3" t="s">
        <v>619</v>
      </c>
      <c r="BF407" s="3" t="s">
        <v>894</v>
      </c>
      <c r="BG407" s="3" t="s">
        <v>891</v>
      </c>
      <c r="BH407" s="3" t="s">
        <v>247</v>
      </c>
    </row>
    <row r="408" spans="1:60" x14ac:dyDescent="0.3">
      <c r="A408" s="3" t="s">
        <v>1141</v>
      </c>
      <c r="B408" s="3" t="s">
        <v>26</v>
      </c>
      <c r="C408" s="3">
        <v>17</v>
      </c>
      <c r="D408" s="3">
        <v>8</v>
      </c>
      <c r="E408" s="4">
        <v>10</v>
      </c>
      <c r="F408" s="4">
        <v>10</v>
      </c>
      <c r="I408" s="4">
        <v>10</v>
      </c>
      <c r="J408" s="4">
        <v>10</v>
      </c>
      <c r="K408" s="4">
        <v>10</v>
      </c>
      <c r="L408" s="4">
        <v>10</v>
      </c>
      <c r="O408" s="4">
        <v>10</v>
      </c>
      <c r="P408" s="4">
        <v>9</v>
      </c>
      <c r="AC408" s="4">
        <v>9</v>
      </c>
      <c r="AD408" s="4">
        <v>10</v>
      </c>
      <c r="AU408" s="4">
        <v>10</v>
      </c>
      <c r="AV408" s="4">
        <v>10</v>
      </c>
      <c r="AY408" s="3" t="s">
        <v>22</v>
      </c>
      <c r="AZ408" s="3" t="s">
        <v>18</v>
      </c>
      <c r="BA408" s="3" t="s">
        <v>895</v>
      </c>
      <c r="BD408" s="3" t="s">
        <v>656</v>
      </c>
      <c r="BE408" s="3" t="s">
        <v>619</v>
      </c>
      <c r="BF408" s="3" t="s">
        <v>896</v>
      </c>
      <c r="BG408" s="3" t="s">
        <v>897</v>
      </c>
      <c r="BH408" s="3" t="s">
        <v>898</v>
      </c>
    </row>
    <row r="409" spans="1:60" x14ac:dyDescent="0.3">
      <c r="A409" s="3" t="s">
        <v>1141</v>
      </c>
      <c r="B409" s="3" t="s">
        <v>16</v>
      </c>
      <c r="C409" s="3">
        <v>16</v>
      </c>
      <c r="D409" s="3">
        <v>10</v>
      </c>
      <c r="E409" s="4">
        <v>10</v>
      </c>
      <c r="F409" s="4">
        <v>10</v>
      </c>
      <c r="I409" s="4">
        <v>10</v>
      </c>
      <c r="J409" s="4">
        <v>10</v>
      </c>
      <c r="K409" s="4">
        <v>10</v>
      </c>
      <c r="L409" s="4">
        <v>10</v>
      </c>
      <c r="O409" s="4">
        <v>10</v>
      </c>
      <c r="P409" s="4">
        <v>10</v>
      </c>
      <c r="AC409" s="4">
        <v>10</v>
      </c>
      <c r="AD409" s="4">
        <v>10</v>
      </c>
      <c r="AU409" s="4">
        <v>10</v>
      </c>
      <c r="AV409" s="4">
        <v>10</v>
      </c>
      <c r="AY409" s="3" t="s">
        <v>18</v>
      </c>
      <c r="AZ409" s="3" t="s">
        <v>18</v>
      </c>
      <c r="BD409" s="3" t="s">
        <v>615</v>
      </c>
      <c r="BE409" s="3" t="s">
        <v>623</v>
      </c>
      <c r="BF409" s="3" t="s">
        <v>899</v>
      </c>
      <c r="BH409" s="3" t="s">
        <v>900</v>
      </c>
    </row>
    <row r="410" spans="1:60" x14ac:dyDescent="0.3">
      <c r="A410" s="3" t="s">
        <v>1141</v>
      </c>
      <c r="B410" s="3" t="s">
        <v>26</v>
      </c>
      <c r="C410" s="3">
        <v>17</v>
      </c>
      <c r="D410" s="3">
        <v>6</v>
      </c>
      <c r="E410" s="4">
        <v>2</v>
      </c>
      <c r="F410" s="4">
        <v>1</v>
      </c>
      <c r="I410" s="4">
        <v>1</v>
      </c>
      <c r="J410" s="4">
        <v>1</v>
      </c>
      <c r="K410" s="4">
        <v>2</v>
      </c>
      <c r="L410" s="4">
        <v>3</v>
      </c>
      <c r="O410" s="4">
        <v>4</v>
      </c>
      <c r="P410" s="4">
        <v>2</v>
      </c>
      <c r="AC410" s="4">
        <v>1</v>
      </c>
      <c r="AD410" s="4">
        <v>3</v>
      </c>
      <c r="AU410" s="4">
        <v>1</v>
      </c>
      <c r="AV410" s="4">
        <v>5</v>
      </c>
      <c r="AY410" s="3" t="s">
        <v>17</v>
      </c>
      <c r="BB410" s="3" t="s">
        <v>18</v>
      </c>
      <c r="BC410" s="3" t="s">
        <v>17</v>
      </c>
      <c r="BD410" s="3" t="s">
        <v>618</v>
      </c>
      <c r="BE410" s="3" t="s">
        <v>616</v>
      </c>
      <c r="BF410" s="3" t="s">
        <v>901</v>
      </c>
      <c r="BG410" s="3" t="s">
        <v>902</v>
      </c>
      <c r="BH410" s="3" t="s">
        <v>903</v>
      </c>
    </row>
    <row r="411" spans="1:60" x14ac:dyDescent="0.3">
      <c r="A411" s="3" t="s">
        <v>1141</v>
      </c>
      <c r="B411" s="3" t="s">
        <v>26</v>
      </c>
      <c r="C411" s="3">
        <v>16</v>
      </c>
      <c r="D411" s="3">
        <v>7</v>
      </c>
      <c r="K411" s="4">
        <v>7</v>
      </c>
      <c r="L411" s="4">
        <v>6</v>
      </c>
      <c r="AA411" s="4">
        <v>7</v>
      </c>
      <c r="AB411" s="4">
        <v>6</v>
      </c>
      <c r="AC411" s="4">
        <v>7</v>
      </c>
      <c r="AD411" s="4">
        <v>6</v>
      </c>
      <c r="AQ411" s="4">
        <v>7</v>
      </c>
      <c r="AR411" s="4">
        <v>5</v>
      </c>
      <c r="AS411" s="4">
        <v>7</v>
      </c>
      <c r="AT411" s="4">
        <v>6</v>
      </c>
      <c r="AU411" s="4">
        <v>7</v>
      </c>
      <c r="AV411" s="4">
        <v>6</v>
      </c>
      <c r="AY411" s="3" t="s">
        <v>18</v>
      </c>
      <c r="AZ411" s="3" t="s">
        <v>18</v>
      </c>
      <c r="BD411" s="3" t="s">
        <v>615</v>
      </c>
      <c r="BE411" s="3" t="s">
        <v>623</v>
      </c>
      <c r="BF411" s="3" t="s">
        <v>904</v>
      </c>
      <c r="BG411" s="3" t="s">
        <v>905</v>
      </c>
    </row>
    <row r="412" spans="1:60" x14ac:dyDescent="0.3">
      <c r="A412" s="3" t="s">
        <v>1141</v>
      </c>
      <c r="B412" s="3" t="s">
        <v>26</v>
      </c>
      <c r="C412" s="3">
        <v>16</v>
      </c>
      <c r="D412" s="3">
        <v>9</v>
      </c>
      <c r="K412" s="4">
        <v>1</v>
      </c>
      <c r="L412" s="4">
        <v>10</v>
      </c>
      <c r="AA412" s="4">
        <v>7</v>
      </c>
      <c r="AB412" s="4">
        <v>9</v>
      </c>
      <c r="AC412" s="4">
        <v>6</v>
      </c>
      <c r="AD412" s="4">
        <v>6</v>
      </c>
      <c r="AQ412" s="4">
        <v>6</v>
      </c>
      <c r="AR412" s="4">
        <v>9</v>
      </c>
      <c r="AS412" s="4">
        <v>7</v>
      </c>
      <c r="AT412" s="4">
        <v>9</v>
      </c>
      <c r="AU412" s="4">
        <v>1</v>
      </c>
      <c r="AV412" s="4">
        <v>9</v>
      </c>
      <c r="AY412" s="3" t="s">
        <v>22</v>
      </c>
      <c r="AZ412" s="3" t="s">
        <v>22</v>
      </c>
      <c r="BD412" s="3" t="s">
        <v>618</v>
      </c>
      <c r="BE412" s="3" t="s">
        <v>623</v>
      </c>
      <c r="BF412" s="3" t="s">
        <v>906</v>
      </c>
      <c r="BG412" s="3" t="s">
        <v>907</v>
      </c>
      <c r="BH412" s="3" t="s">
        <v>908</v>
      </c>
    </row>
    <row r="413" spans="1:60" x14ac:dyDescent="0.3">
      <c r="A413" s="3" t="s">
        <v>1141</v>
      </c>
      <c r="B413" s="3" t="s">
        <v>16</v>
      </c>
      <c r="C413" s="3">
        <v>16</v>
      </c>
      <c r="D413" s="3">
        <v>10</v>
      </c>
      <c r="K413" s="4">
        <v>10</v>
      </c>
      <c r="L413" s="4">
        <v>10</v>
      </c>
      <c r="AA413" s="4">
        <v>10</v>
      </c>
      <c r="AB413" s="4">
        <v>10</v>
      </c>
      <c r="AC413" s="4">
        <v>10</v>
      </c>
      <c r="AD413" s="4">
        <v>10</v>
      </c>
      <c r="AQ413" s="4">
        <v>10</v>
      </c>
      <c r="AR413" s="4">
        <v>10</v>
      </c>
      <c r="AS413" s="4">
        <v>10</v>
      </c>
      <c r="AT413" s="4">
        <v>10</v>
      </c>
      <c r="AU413" s="4">
        <v>10</v>
      </c>
      <c r="AV413" s="4">
        <v>10</v>
      </c>
      <c r="AY413" s="3" t="s">
        <v>18</v>
      </c>
      <c r="AZ413" s="3" t="s">
        <v>18</v>
      </c>
      <c r="BD413" s="3" t="s">
        <v>618</v>
      </c>
      <c r="BE413" s="3" t="s">
        <v>619</v>
      </c>
      <c r="BF413" s="3" t="s">
        <v>909</v>
      </c>
      <c r="BG413" s="3" t="s">
        <v>910</v>
      </c>
    </row>
    <row r="414" spans="1:60" x14ac:dyDescent="0.3">
      <c r="A414" s="3" t="s">
        <v>1141</v>
      </c>
      <c r="B414" s="3" t="s">
        <v>16</v>
      </c>
      <c r="C414" s="3">
        <v>16</v>
      </c>
      <c r="D414" s="3">
        <v>10</v>
      </c>
      <c r="K414" s="4">
        <v>6</v>
      </c>
      <c r="L414" s="4">
        <v>6</v>
      </c>
      <c r="AA414" s="4">
        <v>8</v>
      </c>
      <c r="AB414" s="4">
        <v>9</v>
      </c>
      <c r="AC414" s="4">
        <v>7</v>
      </c>
      <c r="AD414" s="4">
        <v>7</v>
      </c>
      <c r="AQ414" s="4">
        <v>8</v>
      </c>
      <c r="AR414" s="4">
        <v>9</v>
      </c>
      <c r="AS414" s="4">
        <v>8</v>
      </c>
      <c r="AT414" s="4">
        <v>8</v>
      </c>
      <c r="AU414" s="4">
        <v>6</v>
      </c>
      <c r="AV414" s="4">
        <v>6</v>
      </c>
      <c r="AY414" s="3" t="s">
        <v>17</v>
      </c>
      <c r="BB414" s="3" t="s">
        <v>18</v>
      </c>
      <c r="BC414" s="3" t="s">
        <v>22</v>
      </c>
      <c r="BD414" s="3" t="s">
        <v>615</v>
      </c>
      <c r="BE414" s="3" t="s">
        <v>619</v>
      </c>
      <c r="BF414" s="3" t="s">
        <v>911</v>
      </c>
      <c r="BG414" s="3" t="s">
        <v>912</v>
      </c>
    </row>
    <row r="415" spans="1:60" x14ac:dyDescent="0.3">
      <c r="A415" s="3" t="s">
        <v>1141</v>
      </c>
      <c r="B415" s="3" t="s">
        <v>16</v>
      </c>
      <c r="C415" s="3">
        <v>16</v>
      </c>
      <c r="D415" s="3">
        <v>8</v>
      </c>
      <c r="K415" s="4">
        <v>5</v>
      </c>
      <c r="L415" s="4">
        <v>5</v>
      </c>
      <c r="AA415" s="4">
        <v>6</v>
      </c>
      <c r="AB415" s="4">
        <v>7</v>
      </c>
      <c r="AC415" s="4">
        <v>7</v>
      </c>
      <c r="AD415" s="4">
        <v>7</v>
      </c>
      <c r="AQ415" s="4">
        <v>9</v>
      </c>
      <c r="AR415" s="4">
        <v>9</v>
      </c>
      <c r="AS415" s="4">
        <v>6</v>
      </c>
      <c r="AT415" s="4">
        <v>7</v>
      </c>
      <c r="AU415" s="4">
        <v>7</v>
      </c>
      <c r="AV415" s="4">
        <v>7</v>
      </c>
      <c r="AY415" s="3" t="s">
        <v>18</v>
      </c>
      <c r="AZ415" s="3" t="s">
        <v>17</v>
      </c>
      <c r="BA415" s="3" t="s">
        <v>913</v>
      </c>
      <c r="BD415" s="3" t="s">
        <v>615</v>
      </c>
      <c r="BE415" s="3" t="s">
        <v>619</v>
      </c>
      <c r="BF415" s="3" t="s">
        <v>914</v>
      </c>
      <c r="BG415" s="3" t="s">
        <v>915</v>
      </c>
      <c r="BH415" s="3" t="s">
        <v>916</v>
      </c>
    </row>
    <row r="416" spans="1:60" x14ac:dyDescent="0.3">
      <c r="A416" s="3" t="s">
        <v>1141</v>
      </c>
      <c r="B416" s="3" t="s">
        <v>16</v>
      </c>
      <c r="C416" s="3">
        <v>16</v>
      </c>
      <c r="D416" s="3">
        <v>9</v>
      </c>
      <c r="K416" s="4">
        <v>8</v>
      </c>
      <c r="L416" s="4">
        <v>8</v>
      </c>
      <c r="AA416" s="4">
        <v>9</v>
      </c>
      <c r="AB416" s="4">
        <v>8</v>
      </c>
      <c r="AC416" s="4">
        <v>1</v>
      </c>
      <c r="AD416" s="4">
        <v>1</v>
      </c>
      <c r="AQ416" s="4">
        <v>7</v>
      </c>
      <c r="AR416" s="4">
        <v>7</v>
      </c>
      <c r="AS416" s="4">
        <v>5</v>
      </c>
      <c r="AT416" s="4">
        <v>3</v>
      </c>
      <c r="AU416" s="4">
        <v>8</v>
      </c>
      <c r="AV416" s="4">
        <v>8</v>
      </c>
      <c r="AY416" s="3" t="s">
        <v>18</v>
      </c>
      <c r="AZ416" s="3" t="s">
        <v>17</v>
      </c>
      <c r="BD416" s="3" t="s">
        <v>615</v>
      </c>
      <c r="BE416" s="3" t="s">
        <v>619</v>
      </c>
      <c r="BF416" s="3" t="s">
        <v>917</v>
      </c>
      <c r="BG416" s="3" t="s">
        <v>918</v>
      </c>
    </row>
    <row r="417" spans="1:60" x14ac:dyDescent="0.3">
      <c r="A417" s="3" t="s">
        <v>1141</v>
      </c>
      <c r="B417" s="3" t="s">
        <v>16</v>
      </c>
      <c r="C417" s="3">
        <v>16</v>
      </c>
      <c r="D417" s="3">
        <v>6</v>
      </c>
      <c r="K417" s="4">
        <v>2</v>
      </c>
      <c r="L417" s="4">
        <v>1</v>
      </c>
      <c r="AA417" s="4">
        <v>10</v>
      </c>
      <c r="AB417" s="4">
        <v>10</v>
      </c>
      <c r="AC417" s="4">
        <v>1</v>
      </c>
      <c r="AD417" s="4">
        <v>1</v>
      </c>
      <c r="AQ417" s="4">
        <v>8</v>
      </c>
      <c r="AR417" s="4">
        <v>6</v>
      </c>
      <c r="AS417" s="4">
        <v>3</v>
      </c>
      <c r="AT417" s="4">
        <v>1</v>
      </c>
      <c r="AU417" s="4">
        <v>1</v>
      </c>
      <c r="AV417" s="4">
        <v>1</v>
      </c>
      <c r="AY417" s="3" t="s">
        <v>17</v>
      </c>
      <c r="BB417" s="3" t="s">
        <v>17</v>
      </c>
      <c r="BC417" s="3" t="s">
        <v>18</v>
      </c>
      <c r="BD417" s="3" t="s">
        <v>615</v>
      </c>
      <c r="BE417" s="3" t="s">
        <v>619</v>
      </c>
      <c r="BF417" s="3" t="s">
        <v>919</v>
      </c>
      <c r="BG417" s="3" t="s">
        <v>920</v>
      </c>
      <c r="BH417" s="3" t="s">
        <v>921</v>
      </c>
    </row>
    <row r="418" spans="1:60" x14ac:dyDescent="0.3">
      <c r="A418" s="3" t="s">
        <v>1141</v>
      </c>
      <c r="B418" s="3" t="s">
        <v>191</v>
      </c>
      <c r="C418" s="3">
        <v>17</v>
      </c>
      <c r="D418" s="3">
        <v>8</v>
      </c>
      <c r="K418" s="4">
        <v>5</v>
      </c>
      <c r="L418" s="4">
        <v>6</v>
      </c>
      <c r="AA418" s="4">
        <v>10</v>
      </c>
      <c r="AB418" s="4">
        <v>10</v>
      </c>
      <c r="AC418" s="4">
        <v>1</v>
      </c>
      <c r="AD418" s="4">
        <v>1</v>
      </c>
      <c r="AQ418" s="4">
        <v>10</v>
      </c>
      <c r="AR418" s="4">
        <v>10</v>
      </c>
      <c r="AS418" s="4">
        <v>8</v>
      </c>
      <c r="AT418" s="4">
        <v>10</v>
      </c>
      <c r="AU418" s="4">
        <v>6</v>
      </c>
      <c r="AV418" s="4">
        <v>6</v>
      </c>
      <c r="AY418" s="3" t="s">
        <v>18</v>
      </c>
      <c r="AZ418" s="3" t="s">
        <v>22</v>
      </c>
      <c r="BD418" s="3" t="s">
        <v>615</v>
      </c>
      <c r="BE418" s="3" t="s">
        <v>623</v>
      </c>
      <c r="BF418" s="3" t="s">
        <v>922</v>
      </c>
      <c r="BG418" s="3" t="s">
        <v>137</v>
      </c>
      <c r="BH418" s="3" t="s">
        <v>923</v>
      </c>
    </row>
    <row r="419" spans="1:60" x14ac:dyDescent="0.3">
      <c r="A419" s="3" t="s">
        <v>1141</v>
      </c>
      <c r="B419" s="3" t="s">
        <v>16</v>
      </c>
      <c r="C419" s="3">
        <v>17</v>
      </c>
      <c r="D419" s="3">
        <v>9</v>
      </c>
      <c r="K419" s="4">
        <v>5</v>
      </c>
      <c r="L419" s="4">
        <v>5</v>
      </c>
      <c r="AA419" s="4">
        <v>10</v>
      </c>
      <c r="AB419" s="4">
        <v>9</v>
      </c>
      <c r="AC419" s="4">
        <v>9</v>
      </c>
      <c r="AD419" s="4">
        <v>7</v>
      </c>
      <c r="AQ419" s="4">
        <v>10</v>
      </c>
      <c r="AR419" s="4">
        <v>10</v>
      </c>
      <c r="AS419" s="4">
        <v>8</v>
      </c>
      <c r="AT419" s="4">
        <v>8</v>
      </c>
      <c r="AU419" s="4">
        <v>8</v>
      </c>
      <c r="AV419" s="4">
        <v>8</v>
      </c>
      <c r="AY419" s="3" t="s">
        <v>17</v>
      </c>
      <c r="BB419" s="3" t="s">
        <v>18</v>
      </c>
      <c r="BC419" s="3" t="s">
        <v>22</v>
      </c>
      <c r="BD419" s="3" t="s">
        <v>615</v>
      </c>
      <c r="BE419" s="3" t="s">
        <v>619</v>
      </c>
      <c r="BF419" s="3" t="s">
        <v>924</v>
      </c>
      <c r="BG419" s="3" t="s">
        <v>925</v>
      </c>
    </row>
    <row r="420" spans="1:60" x14ac:dyDescent="0.3">
      <c r="A420" s="3" t="s">
        <v>1141</v>
      </c>
      <c r="B420" s="3" t="s">
        <v>26</v>
      </c>
      <c r="C420" s="3">
        <v>16</v>
      </c>
      <c r="D420" s="3">
        <v>8</v>
      </c>
      <c r="K420" s="4">
        <v>5</v>
      </c>
      <c r="L420" s="4">
        <v>5</v>
      </c>
      <c r="AA420" s="4">
        <v>8</v>
      </c>
      <c r="AB420" s="4">
        <v>7</v>
      </c>
      <c r="AC420" s="4">
        <v>7</v>
      </c>
      <c r="AD420" s="4">
        <v>7</v>
      </c>
      <c r="AQ420" s="4">
        <v>8</v>
      </c>
      <c r="AR420" s="4">
        <v>8</v>
      </c>
      <c r="AS420" s="4">
        <v>8</v>
      </c>
      <c r="AT420" s="4">
        <v>7</v>
      </c>
      <c r="AU420" s="4">
        <v>9</v>
      </c>
      <c r="AV420" s="4">
        <v>9</v>
      </c>
      <c r="AY420" s="3" t="s">
        <v>17</v>
      </c>
      <c r="BB420" s="3" t="s">
        <v>17</v>
      </c>
      <c r="BC420" s="3" t="s">
        <v>22</v>
      </c>
      <c r="BD420" s="3" t="s">
        <v>615</v>
      </c>
      <c r="BE420" s="3" t="s">
        <v>619</v>
      </c>
      <c r="BF420" s="3" t="s">
        <v>926</v>
      </c>
      <c r="BG420" s="3" t="s">
        <v>927</v>
      </c>
      <c r="BH420" s="3" t="s">
        <v>928</v>
      </c>
    </row>
    <row r="421" spans="1:60" x14ac:dyDescent="0.3">
      <c r="A421" s="3" t="s">
        <v>1141</v>
      </c>
      <c r="B421" s="3" t="s">
        <v>26</v>
      </c>
      <c r="C421" s="3">
        <v>16</v>
      </c>
      <c r="D421" s="3">
        <v>7</v>
      </c>
      <c r="K421" s="4">
        <v>1</v>
      </c>
      <c r="L421" s="4">
        <v>3</v>
      </c>
      <c r="AA421" s="4">
        <v>8</v>
      </c>
      <c r="AB421" s="4">
        <v>7</v>
      </c>
      <c r="AC421" s="4">
        <v>1</v>
      </c>
      <c r="AD421" s="4">
        <v>1</v>
      </c>
      <c r="AQ421" s="4">
        <v>4</v>
      </c>
      <c r="AR421" s="4">
        <v>8</v>
      </c>
      <c r="AS421" s="4">
        <v>5</v>
      </c>
      <c r="AT421" s="4">
        <v>6</v>
      </c>
      <c r="AU421" s="4">
        <v>8</v>
      </c>
      <c r="AV421" s="4">
        <v>9</v>
      </c>
      <c r="AY421" s="3" t="s">
        <v>17</v>
      </c>
      <c r="BB421" s="3" t="s">
        <v>18</v>
      </c>
      <c r="BC421" s="3" t="s">
        <v>18</v>
      </c>
      <c r="BD421" s="3" t="s">
        <v>615</v>
      </c>
      <c r="BE421" s="3" t="s">
        <v>619</v>
      </c>
      <c r="BF421" s="3" t="s">
        <v>929</v>
      </c>
      <c r="BG421" s="3" t="s">
        <v>930</v>
      </c>
      <c r="BH421" s="3" t="s">
        <v>931</v>
      </c>
    </row>
    <row r="422" spans="1:60" x14ac:dyDescent="0.3">
      <c r="A422" s="3" t="s">
        <v>1141</v>
      </c>
      <c r="B422" s="3" t="s">
        <v>26</v>
      </c>
      <c r="C422" s="3">
        <v>18</v>
      </c>
      <c r="D422" s="3">
        <v>8</v>
      </c>
      <c r="K422" s="4">
        <v>7</v>
      </c>
      <c r="L422" s="4">
        <v>2</v>
      </c>
      <c r="AA422" s="4">
        <v>7</v>
      </c>
      <c r="AB422" s="4">
        <v>7</v>
      </c>
      <c r="AC422" s="4">
        <v>1</v>
      </c>
      <c r="AD422" s="4">
        <v>1</v>
      </c>
      <c r="AQ422" s="4">
        <v>8</v>
      </c>
      <c r="AR422" s="4">
        <v>8</v>
      </c>
      <c r="AS422" s="4">
        <v>3</v>
      </c>
      <c r="AT422" s="4">
        <v>3</v>
      </c>
      <c r="AU422" s="4">
        <v>8</v>
      </c>
      <c r="AV422" s="4">
        <v>10</v>
      </c>
      <c r="AY422" s="3" t="s">
        <v>17</v>
      </c>
      <c r="BB422" s="3" t="s">
        <v>17</v>
      </c>
      <c r="BC422" s="3" t="s">
        <v>18</v>
      </c>
      <c r="BD422" s="3" t="s">
        <v>615</v>
      </c>
      <c r="BE422" s="3" t="s">
        <v>619</v>
      </c>
      <c r="BF422" s="3" t="s">
        <v>932</v>
      </c>
      <c r="BG422" s="3" t="s">
        <v>933</v>
      </c>
      <c r="BH422" s="3" t="s">
        <v>934</v>
      </c>
    </row>
    <row r="423" spans="1:60" x14ac:dyDescent="0.3">
      <c r="A423" s="3" t="s">
        <v>1141</v>
      </c>
      <c r="B423" s="3" t="s">
        <v>26</v>
      </c>
      <c r="C423" s="3">
        <v>17</v>
      </c>
      <c r="D423" s="3">
        <v>8</v>
      </c>
      <c r="K423" s="4">
        <v>5</v>
      </c>
      <c r="L423" s="4">
        <v>2</v>
      </c>
      <c r="AA423" s="4">
        <v>10</v>
      </c>
      <c r="AB423" s="4">
        <v>6</v>
      </c>
      <c r="AC423" s="4">
        <v>1</v>
      </c>
      <c r="AD423" s="4">
        <v>1</v>
      </c>
      <c r="AQ423" s="4">
        <v>2</v>
      </c>
      <c r="AR423" s="4">
        <v>3</v>
      </c>
      <c r="AS423" s="4">
        <v>7</v>
      </c>
      <c r="AT423" s="4">
        <v>4</v>
      </c>
      <c r="AU423" s="4">
        <v>10</v>
      </c>
      <c r="AV423" s="4">
        <v>10</v>
      </c>
      <c r="AY423" s="3" t="s">
        <v>22</v>
      </c>
      <c r="AZ423" s="3" t="s">
        <v>22</v>
      </c>
      <c r="BD423" s="3" t="s">
        <v>656</v>
      </c>
      <c r="BE423" s="3" t="s">
        <v>619</v>
      </c>
      <c r="BF423" s="3" t="s">
        <v>935</v>
      </c>
      <c r="BG423" s="3" t="s">
        <v>936</v>
      </c>
      <c r="BH423" s="3" t="s">
        <v>937</v>
      </c>
    </row>
    <row r="424" spans="1:60" x14ac:dyDescent="0.3">
      <c r="A424" s="3" t="s">
        <v>1141</v>
      </c>
      <c r="B424" s="3" t="s">
        <v>191</v>
      </c>
      <c r="C424" s="3">
        <v>10</v>
      </c>
      <c r="D424" s="3">
        <v>1</v>
      </c>
      <c r="K424" s="4">
        <v>7</v>
      </c>
      <c r="L424" s="4">
        <v>7</v>
      </c>
      <c r="AA424" s="4">
        <v>5</v>
      </c>
      <c r="AB424" s="4">
        <v>10</v>
      </c>
      <c r="AC424" s="4">
        <v>7</v>
      </c>
      <c r="AD424" s="4">
        <v>7</v>
      </c>
      <c r="AQ424" s="4">
        <v>7</v>
      </c>
      <c r="AR424" s="4">
        <v>7</v>
      </c>
      <c r="AS424" s="4">
        <v>7</v>
      </c>
      <c r="AT424" s="4">
        <v>7</v>
      </c>
      <c r="AU424" s="4">
        <v>7</v>
      </c>
      <c r="AV424" s="4">
        <v>7</v>
      </c>
      <c r="AY424" s="3" t="s">
        <v>17</v>
      </c>
      <c r="BB424" s="3" t="s">
        <v>17</v>
      </c>
      <c r="BC424" s="3" t="s">
        <v>22</v>
      </c>
      <c r="BD424" s="3" t="s">
        <v>618</v>
      </c>
      <c r="BE424" s="3" t="s">
        <v>619</v>
      </c>
      <c r="BF424" s="3" t="s">
        <v>938</v>
      </c>
      <c r="BG424" s="3" t="s">
        <v>939</v>
      </c>
      <c r="BH424" s="3" t="s">
        <v>940</v>
      </c>
    </row>
    <row r="425" spans="1:60" x14ac:dyDescent="0.3">
      <c r="A425" s="3" t="s">
        <v>1141</v>
      </c>
      <c r="B425" s="3" t="s">
        <v>26</v>
      </c>
      <c r="C425" s="3">
        <v>15</v>
      </c>
      <c r="D425" s="3">
        <v>10</v>
      </c>
      <c r="K425" s="4">
        <v>7</v>
      </c>
      <c r="L425" s="4">
        <v>7</v>
      </c>
      <c r="AA425" s="4">
        <v>9</v>
      </c>
      <c r="AB425" s="4">
        <v>8</v>
      </c>
      <c r="AC425" s="4">
        <v>9</v>
      </c>
      <c r="AD425" s="4">
        <v>9</v>
      </c>
      <c r="AQ425" s="4">
        <v>9</v>
      </c>
      <c r="AR425" s="4">
        <v>10</v>
      </c>
      <c r="AS425" s="4">
        <v>9</v>
      </c>
      <c r="AT425" s="4">
        <v>9</v>
      </c>
      <c r="AU425" s="4">
        <v>8</v>
      </c>
      <c r="AV425" s="4">
        <v>8</v>
      </c>
      <c r="AY425" s="3" t="s">
        <v>18</v>
      </c>
      <c r="AZ425" s="3" t="s">
        <v>22</v>
      </c>
      <c r="BA425" s="3" t="s">
        <v>941</v>
      </c>
      <c r="BD425" s="3" t="s">
        <v>618</v>
      </c>
      <c r="BE425" s="3" t="s">
        <v>619</v>
      </c>
      <c r="BF425" s="3" t="s">
        <v>942</v>
      </c>
      <c r="BG425" s="3" t="s">
        <v>943</v>
      </c>
      <c r="BH425" s="3" t="s">
        <v>944</v>
      </c>
    </row>
    <row r="426" spans="1:60" x14ac:dyDescent="0.3">
      <c r="A426" s="3" t="s">
        <v>1141</v>
      </c>
      <c r="B426" s="3" t="s">
        <v>26</v>
      </c>
      <c r="C426" s="3">
        <v>15</v>
      </c>
      <c r="D426" s="3">
        <v>9</v>
      </c>
      <c r="K426" s="4">
        <v>2</v>
      </c>
      <c r="L426" s="4">
        <v>3</v>
      </c>
      <c r="AA426" s="4">
        <v>6</v>
      </c>
      <c r="AB426" s="4">
        <v>8</v>
      </c>
      <c r="AC426" s="4">
        <v>5</v>
      </c>
      <c r="AD426" s="4">
        <v>5</v>
      </c>
      <c r="AQ426" s="4">
        <v>9</v>
      </c>
      <c r="AR426" s="4">
        <v>10</v>
      </c>
      <c r="AS426" s="4">
        <v>4</v>
      </c>
      <c r="AT426" s="4">
        <v>4</v>
      </c>
      <c r="AU426" s="4">
        <v>10</v>
      </c>
      <c r="AV426" s="4">
        <v>10</v>
      </c>
      <c r="AY426" s="3" t="s">
        <v>18</v>
      </c>
      <c r="AZ426" s="3" t="s">
        <v>18</v>
      </c>
      <c r="BA426" s="3" t="s">
        <v>945</v>
      </c>
      <c r="BD426" s="3" t="s">
        <v>618</v>
      </c>
      <c r="BE426" s="3" t="s">
        <v>623</v>
      </c>
      <c r="BF426" s="3" t="s">
        <v>946</v>
      </c>
      <c r="BG426" s="3" t="s">
        <v>947</v>
      </c>
      <c r="BH426" s="3" t="s">
        <v>948</v>
      </c>
    </row>
    <row r="427" spans="1:60" x14ac:dyDescent="0.3">
      <c r="A427" s="3" t="s">
        <v>1141</v>
      </c>
      <c r="B427" s="3" t="s">
        <v>26</v>
      </c>
      <c r="C427" s="3">
        <v>15</v>
      </c>
      <c r="D427" s="3">
        <v>10</v>
      </c>
      <c r="K427" s="4">
        <v>8</v>
      </c>
      <c r="L427" s="4">
        <v>10</v>
      </c>
      <c r="AA427" s="4">
        <v>7</v>
      </c>
      <c r="AB427" s="4">
        <v>9</v>
      </c>
      <c r="AC427" s="4">
        <v>9</v>
      </c>
      <c r="AD427" s="4">
        <v>9</v>
      </c>
      <c r="AQ427" s="4">
        <v>7</v>
      </c>
      <c r="AR427" s="4">
        <v>9</v>
      </c>
      <c r="AS427" s="4">
        <v>8</v>
      </c>
      <c r="AT427" s="4">
        <v>8</v>
      </c>
      <c r="AU427" s="4">
        <v>6</v>
      </c>
      <c r="AV427" s="4">
        <v>9</v>
      </c>
      <c r="AY427" s="3" t="s">
        <v>22</v>
      </c>
      <c r="AZ427" s="3" t="s">
        <v>22</v>
      </c>
      <c r="BD427" s="3" t="s">
        <v>656</v>
      </c>
      <c r="BE427" s="3" t="s">
        <v>623</v>
      </c>
      <c r="BF427" s="3" t="s">
        <v>949</v>
      </c>
      <c r="BG427" s="3" t="s">
        <v>950</v>
      </c>
      <c r="BH427" s="3" t="s">
        <v>951</v>
      </c>
    </row>
    <row r="428" spans="1:60" x14ac:dyDescent="0.3">
      <c r="A428" s="3" t="s">
        <v>1141</v>
      </c>
      <c r="B428" s="3" t="s">
        <v>26</v>
      </c>
      <c r="C428" s="3">
        <v>15</v>
      </c>
      <c r="D428" s="3">
        <v>9</v>
      </c>
      <c r="K428" s="4">
        <v>9</v>
      </c>
      <c r="L428" s="4">
        <v>9</v>
      </c>
      <c r="AA428" s="4">
        <v>8</v>
      </c>
      <c r="AB428" s="4">
        <v>8</v>
      </c>
      <c r="AC428" s="4">
        <v>8</v>
      </c>
      <c r="AD428" s="4">
        <v>8</v>
      </c>
      <c r="AQ428" s="4">
        <v>8</v>
      </c>
      <c r="AR428" s="4">
        <v>8</v>
      </c>
      <c r="AS428" s="4">
        <v>8</v>
      </c>
      <c r="AT428" s="4">
        <v>8</v>
      </c>
      <c r="AU428" s="4">
        <v>8</v>
      </c>
      <c r="AV428" s="4">
        <v>7</v>
      </c>
      <c r="AY428" s="3" t="s">
        <v>18</v>
      </c>
      <c r="AZ428" s="3" t="s">
        <v>18</v>
      </c>
      <c r="BA428" s="3" t="s">
        <v>952</v>
      </c>
      <c r="BD428" s="3" t="s">
        <v>618</v>
      </c>
      <c r="BE428" s="3" t="s">
        <v>619</v>
      </c>
      <c r="BF428" s="3" t="s">
        <v>86</v>
      </c>
      <c r="BG428" s="3" t="s">
        <v>358</v>
      </c>
    </row>
    <row r="429" spans="1:60" x14ac:dyDescent="0.3">
      <c r="A429" s="3" t="s">
        <v>1141</v>
      </c>
      <c r="B429" s="3" t="s">
        <v>26</v>
      </c>
      <c r="C429" s="3">
        <v>15</v>
      </c>
      <c r="D429" s="3">
        <v>8</v>
      </c>
      <c r="K429" s="4">
        <v>3</v>
      </c>
      <c r="L429" s="4">
        <v>3</v>
      </c>
      <c r="AA429" s="4">
        <v>7</v>
      </c>
      <c r="AB429" s="4">
        <v>5</v>
      </c>
      <c r="AC429" s="4">
        <v>7</v>
      </c>
      <c r="AD429" s="4">
        <v>2</v>
      </c>
      <c r="AQ429" s="4">
        <v>7</v>
      </c>
      <c r="AR429" s="4">
        <v>4</v>
      </c>
      <c r="AS429" s="4">
        <v>7</v>
      </c>
      <c r="AT429" s="4">
        <v>1</v>
      </c>
      <c r="AU429" s="4">
        <v>7</v>
      </c>
      <c r="AV429" s="4">
        <v>2</v>
      </c>
      <c r="AY429" s="3" t="s">
        <v>18</v>
      </c>
      <c r="AZ429" s="3" t="s">
        <v>17</v>
      </c>
      <c r="BA429" s="3" t="s">
        <v>953</v>
      </c>
      <c r="BD429" s="3" t="s">
        <v>615</v>
      </c>
      <c r="BE429" s="3" t="s">
        <v>619</v>
      </c>
      <c r="BF429" s="3" t="s">
        <v>954</v>
      </c>
      <c r="BG429" s="3" t="s">
        <v>955</v>
      </c>
      <c r="BH429" s="3" t="s">
        <v>956</v>
      </c>
    </row>
    <row r="430" spans="1:60" x14ac:dyDescent="0.3">
      <c r="A430" s="3" t="s">
        <v>1141</v>
      </c>
      <c r="B430" s="3" t="s">
        <v>26</v>
      </c>
      <c r="C430" s="3">
        <v>15</v>
      </c>
      <c r="D430" s="3">
        <v>8</v>
      </c>
      <c r="K430" s="4">
        <v>6</v>
      </c>
      <c r="L430" s="4">
        <v>8</v>
      </c>
      <c r="AA430" s="4">
        <v>10</v>
      </c>
      <c r="AB430" s="4">
        <v>10</v>
      </c>
      <c r="AC430" s="4">
        <v>7</v>
      </c>
      <c r="AD430" s="4">
        <v>9</v>
      </c>
      <c r="AQ430" s="4">
        <v>8</v>
      </c>
      <c r="AR430" s="4">
        <v>10</v>
      </c>
      <c r="AS430" s="4">
        <v>9</v>
      </c>
      <c r="AT430" s="4">
        <v>9</v>
      </c>
      <c r="AU430" s="4">
        <v>8</v>
      </c>
      <c r="AV430" s="4">
        <v>9</v>
      </c>
      <c r="AY430" s="3" t="s">
        <v>18</v>
      </c>
      <c r="AZ430" s="3" t="s">
        <v>18</v>
      </c>
      <c r="BA430" s="3" t="s">
        <v>957</v>
      </c>
      <c r="BD430" s="3" t="s">
        <v>618</v>
      </c>
      <c r="BE430" s="3" t="s">
        <v>623</v>
      </c>
      <c r="BF430" s="3" t="s">
        <v>958</v>
      </c>
      <c r="BG430" s="3" t="s">
        <v>959</v>
      </c>
      <c r="BH430" s="3" t="s">
        <v>960</v>
      </c>
    </row>
    <row r="431" spans="1:60" x14ac:dyDescent="0.3">
      <c r="A431" s="3" t="s">
        <v>1141</v>
      </c>
      <c r="B431" s="3" t="s">
        <v>26</v>
      </c>
      <c r="C431" s="3">
        <v>15</v>
      </c>
      <c r="D431" s="3">
        <v>8</v>
      </c>
      <c r="I431" s="4">
        <v>9</v>
      </c>
      <c r="J431" s="4">
        <v>9</v>
      </c>
      <c r="K431" s="4">
        <v>7</v>
      </c>
      <c r="L431" s="4">
        <v>10</v>
      </c>
      <c r="Q431" s="4">
        <v>8</v>
      </c>
      <c r="R431" s="4">
        <v>9</v>
      </c>
      <c r="AA431" s="4">
        <v>10</v>
      </c>
      <c r="AB431" s="4">
        <v>10</v>
      </c>
      <c r="AE431" s="4">
        <v>9</v>
      </c>
      <c r="AF431" s="4">
        <v>10</v>
      </c>
      <c r="AY431" s="3" t="s">
        <v>17</v>
      </c>
      <c r="BB431" s="3" t="s">
        <v>18</v>
      </c>
      <c r="BC431" s="3" t="s">
        <v>18</v>
      </c>
      <c r="BD431" s="3" t="s">
        <v>618</v>
      </c>
      <c r="BE431" s="3" t="s">
        <v>619</v>
      </c>
      <c r="BF431" s="3" t="s">
        <v>961</v>
      </c>
      <c r="BG431" s="3" t="s">
        <v>962</v>
      </c>
      <c r="BH431" s="3" t="s">
        <v>24</v>
      </c>
    </row>
    <row r="432" spans="1:60" x14ac:dyDescent="0.3">
      <c r="A432" s="3" t="s">
        <v>1141</v>
      </c>
      <c r="B432" s="3" t="s">
        <v>26</v>
      </c>
      <c r="C432" s="3">
        <v>15</v>
      </c>
      <c r="D432" s="3">
        <v>10</v>
      </c>
      <c r="I432" s="4">
        <v>10</v>
      </c>
      <c r="J432" s="4">
        <v>10</v>
      </c>
      <c r="K432" s="4">
        <v>10</v>
      </c>
      <c r="L432" s="4">
        <v>10</v>
      </c>
      <c r="Q432" s="4">
        <v>10</v>
      </c>
      <c r="R432" s="4">
        <v>10</v>
      </c>
      <c r="AA432" s="4">
        <v>10</v>
      </c>
      <c r="AB432" s="4">
        <v>10</v>
      </c>
      <c r="AE432" s="4">
        <v>10</v>
      </c>
      <c r="AF432" s="4">
        <v>10</v>
      </c>
      <c r="AY432" s="3" t="s">
        <v>18</v>
      </c>
      <c r="AZ432" s="3" t="s">
        <v>18</v>
      </c>
      <c r="BD432" s="3" t="s">
        <v>615</v>
      </c>
      <c r="BE432" s="3" t="s">
        <v>623</v>
      </c>
      <c r="BF432" s="3" t="s">
        <v>963</v>
      </c>
      <c r="BG432" s="3" t="s">
        <v>964</v>
      </c>
      <c r="BH432" s="3" t="s">
        <v>965</v>
      </c>
    </row>
    <row r="433" spans="1:60" x14ac:dyDescent="0.3">
      <c r="A433" s="3" t="s">
        <v>1141</v>
      </c>
      <c r="B433" s="3" t="s">
        <v>26</v>
      </c>
      <c r="C433" s="3">
        <v>16</v>
      </c>
      <c r="D433" s="3">
        <v>8</v>
      </c>
      <c r="I433" s="4">
        <v>8</v>
      </c>
      <c r="J433" s="4">
        <v>8</v>
      </c>
      <c r="K433" s="4">
        <v>8</v>
      </c>
      <c r="L433" s="4">
        <v>8</v>
      </c>
      <c r="Q433" s="4">
        <v>8</v>
      </c>
      <c r="R433" s="4">
        <v>8</v>
      </c>
      <c r="AA433" s="4">
        <v>10</v>
      </c>
      <c r="AB433" s="4">
        <v>9</v>
      </c>
      <c r="AE433" s="4">
        <v>8</v>
      </c>
      <c r="AF433" s="4">
        <v>8</v>
      </c>
      <c r="AY433" s="3" t="s">
        <v>17</v>
      </c>
      <c r="BB433" s="3" t="s">
        <v>18</v>
      </c>
      <c r="BC433" s="3" t="s">
        <v>18</v>
      </c>
      <c r="BD433" s="3" t="s">
        <v>656</v>
      </c>
      <c r="BE433" s="3" t="s">
        <v>623</v>
      </c>
      <c r="BF433" s="3" t="s">
        <v>966</v>
      </c>
      <c r="BG433" s="3" t="s">
        <v>967</v>
      </c>
      <c r="BH433" s="3" t="s">
        <v>967</v>
      </c>
    </row>
    <row r="434" spans="1:60" x14ac:dyDescent="0.3">
      <c r="A434" s="3" t="s">
        <v>1141</v>
      </c>
      <c r="B434" s="3" t="s">
        <v>26</v>
      </c>
      <c r="C434" s="3">
        <v>15</v>
      </c>
      <c r="D434" s="3">
        <v>9</v>
      </c>
      <c r="I434" s="4">
        <v>10</v>
      </c>
      <c r="J434" s="4">
        <v>9</v>
      </c>
      <c r="K434" s="4">
        <v>5</v>
      </c>
      <c r="L434" s="4">
        <v>3</v>
      </c>
      <c r="Q434" s="4">
        <v>6</v>
      </c>
      <c r="R434" s="4">
        <v>8</v>
      </c>
      <c r="AA434" s="4">
        <v>9</v>
      </c>
      <c r="AB434" s="4">
        <v>8</v>
      </c>
      <c r="AE434" s="4">
        <v>9</v>
      </c>
      <c r="AF434" s="4">
        <v>9</v>
      </c>
      <c r="AY434" s="3" t="s">
        <v>18</v>
      </c>
      <c r="AZ434" s="3" t="s">
        <v>22</v>
      </c>
      <c r="BD434" s="3" t="s">
        <v>615</v>
      </c>
      <c r="BE434" s="3" t="s">
        <v>623</v>
      </c>
      <c r="BF434" s="3" t="s">
        <v>968</v>
      </c>
      <c r="BG434" s="3" t="s">
        <v>969</v>
      </c>
    </row>
    <row r="435" spans="1:60" x14ac:dyDescent="0.3">
      <c r="A435" s="3" t="s">
        <v>1141</v>
      </c>
      <c r="B435" s="3" t="s">
        <v>16</v>
      </c>
      <c r="C435" s="3">
        <v>16</v>
      </c>
      <c r="D435" s="3">
        <v>10</v>
      </c>
      <c r="I435" s="4">
        <v>10</v>
      </c>
      <c r="J435" s="4">
        <v>10</v>
      </c>
      <c r="K435" s="4">
        <v>9</v>
      </c>
      <c r="L435" s="4">
        <v>8</v>
      </c>
      <c r="Q435" s="4">
        <v>9</v>
      </c>
      <c r="R435" s="4">
        <v>10</v>
      </c>
      <c r="AA435" s="4">
        <v>10</v>
      </c>
      <c r="AB435" s="4">
        <v>10</v>
      </c>
      <c r="AE435" s="4">
        <v>10</v>
      </c>
      <c r="AF435" s="4">
        <v>9</v>
      </c>
      <c r="AY435" s="3" t="s">
        <v>18</v>
      </c>
      <c r="AZ435" s="3" t="s">
        <v>22</v>
      </c>
      <c r="BD435" s="3" t="s">
        <v>615</v>
      </c>
      <c r="BE435" s="3" t="s">
        <v>623</v>
      </c>
      <c r="BF435" s="3" t="s">
        <v>970</v>
      </c>
      <c r="BG435" s="3" t="s">
        <v>971</v>
      </c>
    </row>
    <row r="436" spans="1:60" x14ac:dyDescent="0.3">
      <c r="A436" s="3" t="s">
        <v>1141</v>
      </c>
      <c r="B436" s="3" t="s">
        <v>16</v>
      </c>
      <c r="C436" s="3">
        <v>15</v>
      </c>
      <c r="D436" s="3">
        <v>10</v>
      </c>
      <c r="I436" s="4">
        <v>10</v>
      </c>
      <c r="J436" s="4">
        <v>10</v>
      </c>
      <c r="K436" s="4">
        <v>9</v>
      </c>
      <c r="L436" s="4">
        <v>10</v>
      </c>
      <c r="Q436" s="4">
        <v>10</v>
      </c>
      <c r="R436" s="4">
        <v>9</v>
      </c>
      <c r="AE436" s="4">
        <v>10</v>
      </c>
      <c r="AF436" s="4">
        <v>10</v>
      </c>
      <c r="AY436" s="3" t="s">
        <v>18</v>
      </c>
      <c r="AZ436" s="3" t="s">
        <v>22</v>
      </c>
      <c r="BA436" s="3" t="s">
        <v>972</v>
      </c>
      <c r="BD436" s="3" t="s">
        <v>618</v>
      </c>
      <c r="BE436" s="3" t="s">
        <v>623</v>
      </c>
      <c r="BF436" s="3" t="s">
        <v>973</v>
      </c>
      <c r="BG436" s="3" t="s">
        <v>974</v>
      </c>
      <c r="BH436" s="3" t="s">
        <v>28</v>
      </c>
    </row>
    <row r="437" spans="1:60" x14ac:dyDescent="0.3">
      <c r="A437" s="3" t="s">
        <v>1141</v>
      </c>
      <c r="B437" s="3" t="s">
        <v>26</v>
      </c>
      <c r="C437" s="3">
        <v>15</v>
      </c>
      <c r="D437" s="3">
        <v>10</v>
      </c>
      <c r="I437" s="4">
        <v>10</v>
      </c>
      <c r="J437" s="4">
        <v>10</v>
      </c>
      <c r="K437" s="4">
        <v>10</v>
      </c>
      <c r="L437" s="4">
        <v>7</v>
      </c>
      <c r="Q437" s="4">
        <v>10</v>
      </c>
      <c r="R437" s="4">
        <v>10</v>
      </c>
      <c r="AE437" s="4">
        <v>10</v>
      </c>
      <c r="AF437" s="4">
        <v>10</v>
      </c>
      <c r="AY437" s="3" t="s">
        <v>22</v>
      </c>
      <c r="AZ437" s="3" t="s">
        <v>22</v>
      </c>
      <c r="BA437" s="3" t="s">
        <v>24</v>
      </c>
      <c r="BD437" s="3" t="s">
        <v>656</v>
      </c>
      <c r="BE437" s="3" t="s">
        <v>619</v>
      </c>
      <c r="BF437" s="3" t="s">
        <v>975</v>
      </c>
      <c r="BG437" s="3" t="s">
        <v>976</v>
      </c>
      <c r="BH437" s="3" t="s">
        <v>977</v>
      </c>
    </row>
    <row r="438" spans="1:60" x14ac:dyDescent="0.3">
      <c r="A438" s="3" t="s">
        <v>1141</v>
      </c>
      <c r="B438" s="3" t="s">
        <v>26</v>
      </c>
      <c r="C438" s="3">
        <v>15</v>
      </c>
      <c r="D438" s="3">
        <v>10</v>
      </c>
      <c r="I438" s="4">
        <v>9</v>
      </c>
      <c r="J438" s="4">
        <v>9</v>
      </c>
      <c r="K438" s="4">
        <v>10</v>
      </c>
      <c r="L438" s="4">
        <v>6</v>
      </c>
      <c r="Q438" s="4">
        <v>9</v>
      </c>
      <c r="R438" s="4">
        <v>7</v>
      </c>
      <c r="AE438" s="4">
        <v>10</v>
      </c>
      <c r="AF438" s="4">
        <v>10</v>
      </c>
      <c r="AY438" s="3" t="s">
        <v>18</v>
      </c>
      <c r="AZ438" s="3" t="s">
        <v>18</v>
      </c>
      <c r="BD438" s="3" t="s">
        <v>615</v>
      </c>
      <c r="BE438" s="3" t="s">
        <v>623</v>
      </c>
      <c r="BF438" s="3" t="s">
        <v>978</v>
      </c>
      <c r="BG438" s="3" t="s">
        <v>979</v>
      </c>
    </row>
    <row r="439" spans="1:60" x14ac:dyDescent="0.3">
      <c r="A439" s="3" t="s">
        <v>1141</v>
      </c>
      <c r="B439" s="3" t="s">
        <v>16</v>
      </c>
      <c r="C439" s="3">
        <v>15</v>
      </c>
      <c r="D439" s="3">
        <v>8</v>
      </c>
      <c r="I439" s="4">
        <v>10</v>
      </c>
      <c r="J439" s="4">
        <v>10</v>
      </c>
      <c r="K439" s="4">
        <v>9</v>
      </c>
      <c r="L439" s="4">
        <v>8</v>
      </c>
      <c r="Q439" s="4">
        <v>9</v>
      </c>
      <c r="R439" s="4">
        <v>8</v>
      </c>
      <c r="AE439" s="4">
        <v>10</v>
      </c>
      <c r="AF439" s="4">
        <v>10</v>
      </c>
      <c r="AY439" s="3" t="s">
        <v>18</v>
      </c>
      <c r="AZ439" s="3" t="s">
        <v>18</v>
      </c>
      <c r="BA439" s="3" t="s">
        <v>980</v>
      </c>
      <c r="BD439" s="3" t="s">
        <v>618</v>
      </c>
      <c r="BE439" s="3" t="s">
        <v>623</v>
      </c>
      <c r="BF439" s="3" t="s">
        <v>981</v>
      </c>
      <c r="BG439" s="3" t="s">
        <v>358</v>
      </c>
    </row>
    <row r="440" spans="1:60" x14ac:dyDescent="0.3">
      <c r="A440" s="3" t="s">
        <v>1141</v>
      </c>
      <c r="B440" s="3" t="s">
        <v>16</v>
      </c>
      <c r="C440" s="3">
        <v>15</v>
      </c>
      <c r="D440" s="3">
        <v>9</v>
      </c>
      <c r="I440" s="4">
        <v>10</v>
      </c>
      <c r="J440" s="4">
        <v>10</v>
      </c>
      <c r="K440" s="4">
        <v>8</v>
      </c>
      <c r="L440" s="4">
        <v>8</v>
      </c>
      <c r="Q440" s="4">
        <v>9</v>
      </c>
      <c r="R440" s="4">
        <v>8</v>
      </c>
      <c r="AE440" s="4">
        <v>10</v>
      </c>
      <c r="AF440" s="4">
        <v>10</v>
      </c>
      <c r="AY440" s="3" t="s">
        <v>22</v>
      </c>
      <c r="AZ440" s="3" t="s">
        <v>18</v>
      </c>
      <c r="BA440" s="3" t="s">
        <v>982</v>
      </c>
      <c r="BD440" s="3" t="s">
        <v>615</v>
      </c>
      <c r="BE440" s="3" t="s">
        <v>623</v>
      </c>
      <c r="BF440" s="3" t="s">
        <v>318</v>
      </c>
      <c r="BG440" s="3" t="s">
        <v>35</v>
      </c>
    </row>
    <row r="441" spans="1:60" x14ac:dyDescent="0.3">
      <c r="A441" s="3" t="s">
        <v>1141</v>
      </c>
      <c r="B441" s="3" t="s">
        <v>26</v>
      </c>
      <c r="C441" s="3">
        <v>17</v>
      </c>
      <c r="D441" s="3">
        <v>9</v>
      </c>
      <c r="I441" s="4">
        <v>10</v>
      </c>
      <c r="J441" s="4">
        <v>9</v>
      </c>
      <c r="K441" s="4">
        <v>9</v>
      </c>
      <c r="L441" s="4">
        <v>10</v>
      </c>
      <c r="Q441" s="4">
        <v>9</v>
      </c>
      <c r="R441" s="4">
        <v>8</v>
      </c>
      <c r="AE441" s="4">
        <v>10</v>
      </c>
      <c r="AF441" s="4">
        <v>10</v>
      </c>
      <c r="AY441" s="3" t="s">
        <v>18</v>
      </c>
      <c r="AZ441" s="3" t="s">
        <v>22</v>
      </c>
      <c r="BA441" s="3" t="s">
        <v>983</v>
      </c>
      <c r="BD441" s="3" t="s">
        <v>618</v>
      </c>
      <c r="BE441" s="3" t="s">
        <v>623</v>
      </c>
      <c r="BF441" s="3" t="s">
        <v>984</v>
      </c>
      <c r="BG441" s="3" t="s">
        <v>985</v>
      </c>
    </row>
    <row r="442" spans="1:60" x14ac:dyDescent="0.3">
      <c r="A442" s="3" t="s">
        <v>1141</v>
      </c>
      <c r="B442" s="3" t="s">
        <v>26</v>
      </c>
      <c r="C442" s="3">
        <v>16</v>
      </c>
      <c r="D442" s="3">
        <v>9</v>
      </c>
      <c r="I442" s="4">
        <v>8</v>
      </c>
      <c r="J442" s="4">
        <v>7</v>
      </c>
      <c r="K442" s="4">
        <v>10</v>
      </c>
      <c r="L442" s="4">
        <v>10</v>
      </c>
      <c r="Q442" s="4">
        <v>7</v>
      </c>
      <c r="R442" s="4">
        <v>7</v>
      </c>
      <c r="AE442" s="4">
        <v>8</v>
      </c>
      <c r="AF442" s="4">
        <v>6</v>
      </c>
      <c r="AY442" s="3" t="s">
        <v>22</v>
      </c>
      <c r="AZ442" s="3" t="s">
        <v>22</v>
      </c>
      <c r="BD442" s="3" t="s">
        <v>656</v>
      </c>
      <c r="BE442" s="3" t="s">
        <v>623</v>
      </c>
      <c r="BF442" s="3" t="s">
        <v>912</v>
      </c>
      <c r="BG442" s="3" t="s">
        <v>909</v>
      </c>
      <c r="BH442" s="3" t="s">
        <v>986</v>
      </c>
    </row>
    <row r="443" spans="1:60" x14ac:dyDescent="0.3">
      <c r="A443" s="3" t="s">
        <v>1141</v>
      </c>
      <c r="B443" s="3" t="s">
        <v>16</v>
      </c>
      <c r="C443" s="3">
        <v>16</v>
      </c>
      <c r="D443" s="3">
        <v>9</v>
      </c>
      <c r="I443" s="4">
        <v>10</v>
      </c>
      <c r="J443" s="4">
        <v>10</v>
      </c>
      <c r="K443" s="4">
        <v>10</v>
      </c>
      <c r="L443" s="4">
        <v>10</v>
      </c>
      <c r="Q443" s="4">
        <v>8</v>
      </c>
      <c r="R443" s="4">
        <v>8</v>
      </c>
      <c r="AE443" s="4">
        <v>10</v>
      </c>
      <c r="AF443" s="4">
        <v>10</v>
      </c>
      <c r="AY443" s="3" t="s">
        <v>18</v>
      </c>
      <c r="AZ443" s="3" t="s">
        <v>18</v>
      </c>
      <c r="BA443" s="3" t="s">
        <v>987</v>
      </c>
      <c r="BD443" s="3" t="s">
        <v>656</v>
      </c>
      <c r="BE443" s="3" t="s">
        <v>623</v>
      </c>
      <c r="BF443" s="3" t="s">
        <v>520</v>
      </c>
      <c r="BG443" s="3" t="s">
        <v>358</v>
      </c>
    </row>
    <row r="444" spans="1:60" x14ac:dyDescent="0.3">
      <c r="A444" s="3" t="s">
        <v>1141</v>
      </c>
      <c r="B444" s="3" t="s">
        <v>26</v>
      </c>
      <c r="C444" s="3">
        <v>15</v>
      </c>
      <c r="D444" s="3">
        <v>7</v>
      </c>
      <c r="I444" s="4">
        <v>6</v>
      </c>
      <c r="J444" s="4">
        <v>8</v>
      </c>
      <c r="K444" s="4">
        <v>7</v>
      </c>
      <c r="L444" s="4">
        <v>7</v>
      </c>
      <c r="Q444" s="4">
        <v>8</v>
      </c>
      <c r="R444" s="4">
        <v>7</v>
      </c>
      <c r="AE444" s="4">
        <v>7</v>
      </c>
      <c r="AF444" s="4">
        <v>7</v>
      </c>
      <c r="AY444" s="3" t="s">
        <v>17</v>
      </c>
      <c r="BB444" s="3" t="s">
        <v>17</v>
      </c>
      <c r="BC444" s="3" t="s">
        <v>22</v>
      </c>
      <c r="BD444" s="3" t="s">
        <v>618</v>
      </c>
      <c r="BE444" s="3" t="s">
        <v>619</v>
      </c>
      <c r="BF444" s="3" t="s">
        <v>23</v>
      </c>
      <c r="BG444" s="3" t="s">
        <v>318</v>
      </c>
    </row>
    <row r="445" spans="1:60" x14ac:dyDescent="0.3">
      <c r="A445" s="3" t="s">
        <v>1141</v>
      </c>
      <c r="B445" s="3" t="s">
        <v>26</v>
      </c>
      <c r="C445" s="3">
        <v>15</v>
      </c>
      <c r="D445" s="3">
        <v>9</v>
      </c>
      <c r="I445" s="4">
        <v>10</v>
      </c>
      <c r="J445" s="4">
        <v>10</v>
      </c>
      <c r="K445" s="4">
        <v>4</v>
      </c>
      <c r="L445" s="4">
        <v>4</v>
      </c>
      <c r="Q445" s="4">
        <v>5</v>
      </c>
      <c r="R445" s="4">
        <v>5</v>
      </c>
      <c r="AE445" s="4">
        <v>8</v>
      </c>
      <c r="AF445" s="4">
        <v>9</v>
      </c>
      <c r="AY445" s="3" t="s">
        <v>17</v>
      </c>
      <c r="BB445" s="3" t="s">
        <v>17</v>
      </c>
      <c r="BC445" s="3" t="s">
        <v>22</v>
      </c>
      <c r="BD445" s="3" t="s">
        <v>615</v>
      </c>
      <c r="BE445" s="3" t="s">
        <v>619</v>
      </c>
      <c r="BF445" s="3" t="s">
        <v>308</v>
      </c>
      <c r="BG445" s="3" t="s">
        <v>137</v>
      </c>
      <c r="BH445" s="3" t="s">
        <v>988</v>
      </c>
    </row>
    <row r="446" spans="1:60" x14ac:dyDescent="0.3">
      <c r="A446" s="3" t="s">
        <v>1141</v>
      </c>
      <c r="B446" s="3" t="s">
        <v>26</v>
      </c>
      <c r="C446" s="3">
        <v>16</v>
      </c>
      <c r="D446" s="3">
        <v>9</v>
      </c>
      <c r="I446" s="4">
        <v>8</v>
      </c>
      <c r="J446" s="4">
        <v>8</v>
      </c>
      <c r="K446" s="4">
        <v>9</v>
      </c>
      <c r="L446" s="4">
        <v>8</v>
      </c>
      <c r="Q446" s="4">
        <v>8</v>
      </c>
      <c r="R446" s="4">
        <v>8</v>
      </c>
      <c r="AE446" s="4">
        <v>9</v>
      </c>
      <c r="AF446" s="4">
        <v>9</v>
      </c>
      <c r="AY446" s="3" t="s">
        <v>22</v>
      </c>
      <c r="AZ446" s="3" t="s">
        <v>22</v>
      </c>
      <c r="BD446" s="3" t="s">
        <v>656</v>
      </c>
      <c r="BE446" s="3" t="s">
        <v>619</v>
      </c>
      <c r="BF446" s="3" t="s">
        <v>989</v>
      </c>
      <c r="BG446" s="3" t="s">
        <v>358</v>
      </c>
    </row>
    <row r="447" spans="1:60" x14ac:dyDescent="0.3">
      <c r="A447" s="3" t="s">
        <v>1141</v>
      </c>
      <c r="B447" s="3" t="s">
        <v>26</v>
      </c>
      <c r="C447" s="3">
        <v>15</v>
      </c>
      <c r="D447" s="3">
        <v>9</v>
      </c>
      <c r="I447" s="4">
        <v>10</v>
      </c>
      <c r="J447" s="4">
        <v>10</v>
      </c>
      <c r="K447" s="4">
        <v>9</v>
      </c>
      <c r="L447" s="4">
        <v>9</v>
      </c>
      <c r="Q447" s="4">
        <v>10</v>
      </c>
      <c r="R447" s="4">
        <v>9</v>
      </c>
      <c r="AE447" s="4">
        <v>9</v>
      </c>
      <c r="AF447" s="4">
        <v>9</v>
      </c>
      <c r="AY447" s="3" t="s">
        <v>22</v>
      </c>
      <c r="AZ447" s="3" t="s">
        <v>22</v>
      </c>
      <c r="BD447" s="3" t="s">
        <v>618</v>
      </c>
      <c r="BE447" s="3" t="s">
        <v>623</v>
      </c>
      <c r="BF447" s="3" t="s">
        <v>990</v>
      </c>
      <c r="BG447" s="3" t="s">
        <v>991</v>
      </c>
    </row>
    <row r="448" spans="1:60" x14ac:dyDescent="0.3">
      <c r="A448" s="3" t="s">
        <v>1141</v>
      </c>
      <c r="B448" s="3" t="s">
        <v>26</v>
      </c>
      <c r="C448" s="3">
        <v>17</v>
      </c>
      <c r="D448" s="3">
        <v>10</v>
      </c>
      <c r="I448" s="4">
        <v>10</v>
      </c>
      <c r="J448" s="4">
        <v>10</v>
      </c>
      <c r="K448" s="4">
        <v>7</v>
      </c>
      <c r="L448" s="4">
        <v>9</v>
      </c>
      <c r="Q448" s="4">
        <v>9</v>
      </c>
      <c r="R448" s="4">
        <v>9</v>
      </c>
      <c r="AE448" s="4">
        <v>8</v>
      </c>
      <c r="AF448" s="4">
        <v>8</v>
      </c>
      <c r="AY448" s="3" t="s">
        <v>18</v>
      </c>
      <c r="AZ448" s="3" t="s">
        <v>22</v>
      </c>
      <c r="BA448" s="3" t="s">
        <v>992</v>
      </c>
      <c r="BD448" s="3" t="s">
        <v>615</v>
      </c>
      <c r="BE448" s="3" t="s">
        <v>623</v>
      </c>
      <c r="BF448" s="3" t="s">
        <v>993</v>
      </c>
      <c r="BG448" s="3" t="s">
        <v>994</v>
      </c>
      <c r="BH448" s="3" t="s">
        <v>995</v>
      </c>
    </row>
    <row r="449" spans="1:60" x14ac:dyDescent="0.3">
      <c r="A449" s="3" t="s">
        <v>1141</v>
      </c>
      <c r="B449" s="3" t="s">
        <v>26</v>
      </c>
      <c r="C449" s="3">
        <v>15</v>
      </c>
      <c r="D449" s="3">
        <v>10</v>
      </c>
      <c r="I449" s="4">
        <v>10</v>
      </c>
      <c r="J449" s="4">
        <v>10</v>
      </c>
      <c r="K449" s="4">
        <v>9</v>
      </c>
      <c r="L449" s="4">
        <v>10</v>
      </c>
      <c r="Q449" s="4">
        <v>9</v>
      </c>
      <c r="R449" s="4">
        <v>9</v>
      </c>
      <c r="AE449" s="4">
        <v>10</v>
      </c>
      <c r="AF449" s="4">
        <v>10</v>
      </c>
      <c r="AY449" s="3" t="s">
        <v>22</v>
      </c>
      <c r="AZ449" s="3" t="s">
        <v>22</v>
      </c>
      <c r="BD449" s="3" t="s">
        <v>656</v>
      </c>
      <c r="BE449" s="3" t="s">
        <v>623</v>
      </c>
      <c r="BF449" s="3" t="s">
        <v>996</v>
      </c>
      <c r="BG449" s="3" t="s">
        <v>997</v>
      </c>
      <c r="BH449" s="3" t="s">
        <v>998</v>
      </c>
    </row>
    <row r="450" spans="1:60" x14ac:dyDescent="0.3">
      <c r="A450" s="3" t="s">
        <v>1141</v>
      </c>
      <c r="B450" s="3" t="s">
        <v>26</v>
      </c>
      <c r="C450" s="3">
        <v>15</v>
      </c>
      <c r="D450" s="3">
        <v>9</v>
      </c>
      <c r="I450" s="4">
        <v>10</v>
      </c>
      <c r="J450" s="4">
        <v>10</v>
      </c>
      <c r="K450" s="4">
        <v>6</v>
      </c>
      <c r="L450" s="4">
        <v>5</v>
      </c>
      <c r="Q450" s="4">
        <v>7</v>
      </c>
      <c r="R450" s="4">
        <v>6</v>
      </c>
      <c r="AE450" s="4">
        <v>8</v>
      </c>
      <c r="AF450" s="4">
        <v>9</v>
      </c>
      <c r="AY450" s="3" t="s">
        <v>17</v>
      </c>
      <c r="BB450" s="3" t="s">
        <v>18</v>
      </c>
      <c r="BC450" s="3" t="s">
        <v>22</v>
      </c>
      <c r="BD450" s="3" t="s">
        <v>615</v>
      </c>
      <c r="BE450" s="3" t="s">
        <v>619</v>
      </c>
      <c r="BF450" s="3" t="s">
        <v>999</v>
      </c>
      <c r="BG450" s="3" t="s">
        <v>1000</v>
      </c>
      <c r="BH450" s="3" t="s">
        <v>967</v>
      </c>
    </row>
    <row r="451" spans="1:60" x14ac:dyDescent="0.3">
      <c r="A451" s="3" t="s">
        <v>1141</v>
      </c>
      <c r="B451" s="3" t="s">
        <v>26</v>
      </c>
      <c r="C451" s="3">
        <v>15</v>
      </c>
      <c r="D451" s="3">
        <v>9</v>
      </c>
      <c r="I451" s="4">
        <v>9</v>
      </c>
      <c r="J451" s="4">
        <v>10</v>
      </c>
      <c r="K451" s="4">
        <v>9</v>
      </c>
      <c r="L451" s="4">
        <v>9</v>
      </c>
      <c r="Q451" s="4">
        <v>7</v>
      </c>
      <c r="R451" s="4">
        <v>8</v>
      </c>
      <c r="AE451" s="4">
        <v>9</v>
      </c>
      <c r="AF451" s="4">
        <v>10</v>
      </c>
      <c r="AY451" s="3" t="s">
        <v>17</v>
      </c>
      <c r="BB451" s="3" t="s">
        <v>18</v>
      </c>
      <c r="BC451" s="3" t="s">
        <v>22</v>
      </c>
      <c r="BD451" s="3" t="s">
        <v>615</v>
      </c>
      <c r="BE451" s="3" t="s">
        <v>619</v>
      </c>
      <c r="BF451" s="3" t="s">
        <v>318</v>
      </c>
      <c r="BG451" s="3" t="s">
        <v>1001</v>
      </c>
      <c r="BH451" s="3" t="s">
        <v>1002</v>
      </c>
    </row>
    <row r="452" spans="1:60" x14ac:dyDescent="0.3">
      <c r="A452" s="3" t="s">
        <v>1141</v>
      </c>
      <c r="B452" s="3" t="s">
        <v>26</v>
      </c>
      <c r="C452" s="3">
        <v>15</v>
      </c>
      <c r="D452" s="3">
        <v>9</v>
      </c>
      <c r="I452" s="4">
        <v>9</v>
      </c>
      <c r="J452" s="4">
        <v>10</v>
      </c>
      <c r="K452" s="4">
        <v>9</v>
      </c>
      <c r="L452" s="4">
        <v>8</v>
      </c>
      <c r="Q452" s="4">
        <v>8</v>
      </c>
      <c r="R452" s="4">
        <v>6</v>
      </c>
      <c r="AE452" s="4">
        <v>10</v>
      </c>
      <c r="AF452" s="4">
        <v>9</v>
      </c>
      <c r="AY452" s="3" t="s">
        <v>18</v>
      </c>
      <c r="AZ452" s="3" t="s">
        <v>18</v>
      </c>
      <c r="BA452" s="3" t="s">
        <v>1003</v>
      </c>
      <c r="BD452" s="3" t="s">
        <v>615</v>
      </c>
      <c r="BE452" s="3" t="s">
        <v>623</v>
      </c>
      <c r="BF452" s="3" t="s">
        <v>1004</v>
      </c>
      <c r="BG452" s="3" t="s">
        <v>1005</v>
      </c>
      <c r="BH452" s="3" t="s">
        <v>1006</v>
      </c>
    </row>
    <row r="453" spans="1:60" x14ac:dyDescent="0.3">
      <c r="A453" s="3" t="s">
        <v>1141</v>
      </c>
      <c r="B453" s="3" t="s">
        <v>26</v>
      </c>
      <c r="C453" s="3">
        <v>15</v>
      </c>
      <c r="D453" s="3">
        <v>10</v>
      </c>
      <c r="I453" s="4">
        <v>10</v>
      </c>
      <c r="J453" s="4">
        <v>9</v>
      </c>
      <c r="K453" s="4">
        <v>10</v>
      </c>
      <c r="L453" s="4">
        <v>10</v>
      </c>
      <c r="Q453" s="4">
        <v>10</v>
      </c>
      <c r="R453" s="4">
        <v>9</v>
      </c>
      <c r="AE453" s="4">
        <v>10</v>
      </c>
      <c r="AF453" s="4">
        <v>10</v>
      </c>
      <c r="AY453" s="3" t="s">
        <v>22</v>
      </c>
      <c r="AZ453" s="3" t="s">
        <v>22</v>
      </c>
      <c r="BD453" s="3" t="s">
        <v>618</v>
      </c>
      <c r="BE453" s="3" t="s">
        <v>623</v>
      </c>
      <c r="BF453" s="3" t="s">
        <v>1007</v>
      </c>
      <c r="BG453" s="3" t="s">
        <v>1008</v>
      </c>
      <c r="BH453" s="3" t="s">
        <v>1009</v>
      </c>
    </row>
    <row r="454" spans="1:60" x14ac:dyDescent="0.3">
      <c r="A454" s="3" t="s">
        <v>1141</v>
      </c>
      <c r="B454" s="3" t="s">
        <v>16</v>
      </c>
      <c r="C454" s="3">
        <v>16</v>
      </c>
      <c r="D454" s="3">
        <v>8</v>
      </c>
      <c r="I454" s="4">
        <v>8</v>
      </c>
      <c r="J454" s="4">
        <v>8</v>
      </c>
      <c r="K454" s="4">
        <v>6</v>
      </c>
      <c r="L454" s="4">
        <v>5</v>
      </c>
      <c r="Q454" s="4">
        <v>8</v>
      </c>
      <c r="R454" s="4">
        <v>8</v>
      </c>
      <c r="AE454" s="4">
        <v>9</v>
      </c>
      <c r="AF454" s="4">
        <v>9</v>
      </c>
      <c r="AY454" s="3" t="s">
        <v>18</v>
      </c>
      <c r="AZ454" s="3" t="s">
        <v>18</v>
      </c>
      <c r="BD454" s="3" t="s">
        <v>618</v>
      </c>
      <c r="BE454" s="3" t="s">
        <v>619</v>
      </c>
      <c r="BF454" s="3" t="s">
        <v>1010</v>
      </c>
      <c r="BG454" s="3" t="s">
        <v>1011</v>
      </c>
      <c r="BH454" s="3" t="s">
        <v>1012</v>
      </c>
    </row>
    <row r="455" spans="1:60" x14ac:dyDescent="0.3">
      <c r="A455" s="3" t="s">
        <v>1141</v>
      </c>
      <c r="B455" s="3" t="s">
        <v>16</v>
      </c>
      <c r="C455" s="3">
        <v>14</v>
      </c>
      <c r="D455" s="3">
        <v>9</v>
      </c>
      <c r="E455" s="4">
        <v>10</v>
      </c>
      <c r="F455" s="4">
        <v>10</v>
      </c>
      <c r="K455" s="4">
        <v>10</v>
      </c>
      <c r="L455" s="4">
        <v>10</v>
      </c>
      <c r="M455" s="4">
        <v>10</v>
      </c>
      <c r="N455" s="4">
        <v>10</v>
      </c>
      <c r="O455" s="4">
        <v>10</v>
      </c>
      <c r="P455" s="4">
        <v>10</v>
      </c>
      <c r="AG455" s="4">
        <v>10</v>
      </c>
      <c r="AH455" s="4">
        <v>10</v>
      </c>
      <c r="AY455" s="3" t="s">
        <v>18</v>
      </c>
      <c r="AZ455" s="3" t="s">
        <v>18</v>
      </c>
      <c r="BA455" s="3" t="s">
        <v>1013</v>
      </c>
      <c r="BD455" s="3" t="s">
        <v>615</v>
      </c>
      <c r="BE455" s="3" t="s">
        <v>623</v>
      </c>
      <c r="BF455" s="3" t="s">
        <v>1014</v>
      </c>
      <c r="BG455" s="3" t="s">
        <v>241</v>
      </c>
      <c r="BH455" s="3" t="s">
        <v>1015</v>
      </c>
    </row>
    <row r="456" spans="1:60" x14ac:dyDescent="0.3">
      <c r="A456" s="3" t="s">
        <v>1141</v>
      </c>
      <c r="B456" s="3" t="s">
        <v>16</v>
      </c>
      <c r="C456" s="3">
        <v>13</v>
      </c>
      <c r="D456" s="3">
        <v>9</v>
      </c>
      <c r="E456" s="4">
        <v>8</v>
      </c>
      <c r="F456" s="4">
        <v>9</v>
      </c>
      <c r="K456" s="4">
        <v>9</v>
      </c>
      <c r="L456" s="4">
        <v>9</v>
      </c>
      <c r="M456" s="4">
        <v>8</v>
      </c>
      <c r="N456" s="4">
        <v>8</v>
      </c>
      <c r="O456" s="4">
        <v>8</v>
      </c>
      <c r="P456" s="4">
        <v>8</v>
      </c>
      <c r="AG456" s="4">
        <v>9</v>
      </c>
      <c r="AH456" s="4">
        <v>10</v>
      </c>
      <c r="AY456" s="3" t="s">
        <v>18</v>
      </c>
      <c r="AZ456" s="3" t="s">
        <v>18</v>
      </c>
      <c r="BD456" s="3" t="s">
        <v>615</v>
      </c>
      <c r="BE456" s="3" t="s">
        <v>623</v>
      </c>
      <c r="BF456" s="3" t="s">
        <v>1016</v>
      </c>
      <c r="BG456" s="3" t="s">
        <v>1017</v>
      </c>
      <c r="BH456" s="3" t="s">
        <v>1018</v>
      </c>
    </row>
    <row r="457" spans="1:60" x14ac:dyDescent="0.3">
      <c r="A457" s="3" t="s">
        <v>1141</v>
      </c>
      <c r="B457" s="3" t="s">
        <v>16</v>
      </c>
      <c r="C457" s="3">
        <v>13</v>
      </c>
      <c r="D457" s="3">
        <v>9</v>
      </c>
      <c r="E457" s="4">
        <v>10</v>
      </c>
      <c r="F457" s="4">
        <v>10</v>
      </c>
      <c r="K457" s="4">
        <v>10</v>
      </c>
      <c r="L457" s="4">
        <v>10</v>
      </c>
      <c r="M457" s="4">
        <v>8</v>
      </c>
      <c r="N457" s="4">
        <v>8</v>
      </c>
      <c r="O457" s="4">
        <v>5</v>
      </c>
      <c r="P457" s="4">
        <v>5</v>
      </c>
      <c r="AG457" s="4">
        <v>8</v>
      </c>
      <c r="AH457" s="4">
        <v>8</v>
      </c>
      <c r="AY457" s="3" t="s">
        <v>18</v>
      </c>
      <c r="AZ457" s="3" t="s">
        <v>22</v>
      </c>
      <c r="BD457" s="3" t="s">
        <v>618</v>
      </c>
      <c r="BE457" s="3" t="s">
        <v>623</v>
      </c>
      <c r="BF457" s="3" t="s">
        <v>1019</v>
      </c>
      <c r="BG457" s="3" t="s">
        <v>1020</v>
      </c>
      <c r="BH457" s="3" t="s">
        <v>1021</v>
      </c>
    </row>
    <row r="458" spans="1:60" x14ac:dyDescent="0.3">
      <c r="A458" s="3" t="s">
        <v>1141</v>
      </c>
      <c r="B458" s="3" t="s">
        <v>26</v>
      </c>
      <c r="C458" s="3">
        <v>13</v>
      </c>
      <c r="D458" s="3">
        <v>9</v>
      </c>
      <c r="E458" s="4">
        <v>10</v>
      </c>
      <c r="F458" s="4">
        <v>10</v>
      </c>
      <c r="K458" s="4">
        <v>7</v>
      </c>
      <c r="L458" s="4">
        <v>8</v>
      </c>
      <c r="M458" s="4">
        <v>10</v>
      </c>
      <c r="N458" s="4">
        <v>10</v>
      </c>
      <c r="O458" s="4">
        <v>5</v>
      </c>
      <c r="P458" s="4">
        <v>1</v>
      </c>
      <c r="AG458" s="4">
        <v>10</v>
      </c>
      <c r="AH458" s="4">
        <v>10</v>
      </c>
      <c r="AY458" s="3" t="s">
        <v>22</v>
      </c>
      <c r="AZ458" s="3" t="s">
        <v>22</v>
      </c>
      <c r="BD458" s="3" t="s">
        <v>656</v>
      </c>
      <c r="BE458" s="3" t="s">
        <v>623</v>
      </c>
      <c r="BF458" s="3" t="s">
        <v>1022</v>
      </c>
      <c r="BG458" s="3" t="s">
        <v>28</v>
      </c>
    </row>
    <row r="459" spans="1:60" x14ac:dyDescent="0.3">
      <c r="A459" s="3" t="s">
        <v>1141</v>
      </c>
      <c r="B459" s="3" t="s">
        <v>16</v>
      </c>
      <c r="C459" s="3">
        <v>13</v>
      </c>
      <c r="D459" s="3">
        <v>9</v>
      </c>
      <c r="E459" s="4">
        <v>9</v>
      </c>
      <c r="F459" s="4">
        <v>9</v>
      </c>
      <c r="K459" s="4">
        <v>10</v>
      </c>
      <c r="L459" s="4">
        <v>10</v>
      </c>
      <c r="M459" s="4">
        <v>6</v>
      </c>
      <c r="N459" s="4">
        <v>1</v>
      </c>
      <c r="O459" s="4">
        <v>6</v>
      </c>
      <c r="P459" s="4">
        <v>2</v>
      </c>
      <c r="AG459" s="4">
        <v>8</v>
      </c>
      <c r="AH459" s="4">
        <v>7</v>
      </c>
      <c r="AY459" s="3" t="s">
        <v>18</v>
      </c>
      <c r="AZ459" s="3" t="s">
        <v>22</v>
      </c>
      <c r="BD459" s="3" t="s">
        <v>615</v>
      </c>
      <c r="BE459" s="3" t="s">
        <v>623</v>
      </c>
      <c r="BF459" s="3" t="s">
        <v>1023</v>
      </c>
      <c r="BG459" s="3" t="s">
        <v>1024</v>
      </c>
      <c r="BH459" s="3" t="s">
        <v>1025</v>
      </c>
    </row>
    <row r="460" spans="1:60" x14ac:dyDescent="0.3">
      <c r="A460" s="3" t="s">
        <v>1141</v>
      </c>
      <c r="B460" s="3" t="s">
        <v>16</v>
      </c>
      <c r="C460" s="3">
        <v>13</v>
      </c>
      <c r="D460" s="3">
        <v>9</v>
      </c>
      <c r="E460" s="4">
        <v>10</v>
      </c>
      <c r="F460" s="4">
        <v>10</v>
      </c>
      <c r="K460" s="4">
        <v>5</v>
      </c>
      <c r="L460" s="4">
        <v>9</v>
      </c>
      <c r="M460" s="4">
        <v>10</v>
      </c>
      <c r="N460" s="4">
        <v>8</v>
      </c>
      <c r="O460" s="4">
        <v>10</v>
      </c>
      <c r="P460" s="4">
        <v>10</v>
      </c>
      <c r="AG460" s="4">
        <v>9</v>
      </c>
      <c r="AH460" s="4">
        <v>10</v>
      </c>
      <c r="AY460" s="3" t="s">
        <v>17</v>
      </c>
      <c r="BB460" s="3" t="s">
        <v>22</v>
      </c>
      <c r="BC460" s="3" t="s">
        <v>18</v>
      </c>
      <c r="BD460" s="3" t="s">
        <v>615</v>
      </c>
      <c r="BE460" s="3" t="s">
        <v>623</v>
      </c>
      <c r="BF460" s="3" t="s">
        <v>1026</v>
      </c>
      <c r="BG460" s="3" t="s">
        <v>1027</v>
      </c>
      <c r="BH460" s="3" t="s">
        <v>47</v>
      </c>
    </row>
    <row r="461" spans="1:60" x14ac:dyDescent="0.3">
      <c r="A461" s="3" t="s">
        <v>1141</v>
      </c>
      <c r="B461" s="3" t="s">
        <v>26</v>
      </c>
      <c r="C461" s="3">
        <v>14</v>
      </c>
      <c r="D461" s="3">
        <v>9</v>
      </c>
      <c r="E461" s="4">
        <v>8</v>
      </c>
      <c r="F461" s="4">
        <v>10</v>
      </c>
      <c r="K461" s="4">
        <v>7</v>
      </c>
      <c r="L461" s="4">
        <v>8</v>
      </c>
      <c r="M461" s="4">
        <v>8</v>
      </c>
      <c r="N461" s="4">
        <v>8</v>
      </c>
      <c r="O461" s="4">
        <v>7</v>
      </c>
      <c r="P461" s="4">
        <v>7</v>
      </c>
      <c r="AG461" s="4">
        <v>9</v>
      </c>
      <c r="AH461" s="4">
        <v>8</v>
      </c>
      <c r="AY461" s="3" t="s">
        <v>22</v>
      </c>
      <c r="AZ461" s="3" t="s">
        <v>22</v>
      </c>
      <c r="BD461" s="3" t="s">
        <v>618</v>
      </c>
      <c r="BE461" s="3" t="s">
        <v>623</v>
      </c>
      <c r="BF461" s="3" t="s">
        <v>1028</v>
      </c>
      <c r="BG461" s="3" t="s">
        <v>1029</v>
      </c>
      <c r="BH461" s="3" t="s">
        <v>1030</v>
      </c>
    </row>
    <row r="462" spans="1:60" x14ac:dyDescent="0.3">
      <c r="A462" s="3" t="s">
        <v>1141</v>
      </c>
      <c r="B462" s="3" t="s">
        <v>26</v>
      </c>
      <c r="C462" s="3">
        <v>16</v>
      </c>
      <c r="D462" s="3">
        <v>10</v>
      </c>
      <c r="E462" s="4">
        <v>9</v>
      </c>
      <c r="F462" s="4">
        <v>9</v>
      </c>
      <c r="K462" s="4">
        <v>10</v>
      </c>
      <c r="L462" s="4">
        <v>10</v>
      </c>
      <c r="M462" s="4">
        <v>7</v>
      </c>
      <c r="N462" s="4">
        <v>8</v>
      </c>
      <c r="O462" s="4">
        <v>8</v>
      </c>
      <c r="P462" s="4">
        <v>9</v>
      </c>
      <c r="AG462" s="4">
        <v>9</v>
      </c>
      <c r="AH462" s="4">
        <v>7</v>
      </c>
      <c r="AY462" s="3" t="s">
        <v>22</v>
      </c>
      <c r="AZ462" s="3" t="s">
        <v>22</v>
      </c>
      <c r="BD462" s="3" t="s">
        <v>618</v>
      </c>
      <c r="BE462" s="3" t="s">
        <v>623</v>
      </c>
      <c r="BF462" s="3" t="s">
        <v>1031</v>
      </c>
      <c r="BG462" s="3" t="s">
        <v>1032</v>
      </c>
      <c r="BH462" s="3" t="s">
        <v>1033</v>
      </c>
    </row>
    <row r="463" spans="1:60" x14ac:dyDescent="0.3">
      <c r="A463" s="3" t="s">
        <v>1141</v>
      </c>
      <c r="B463" s="3" t="s">
        <v>16</v>
      </c>
      <c r="C463" s="3">
        <v>16</v>
      </c>
      <c r="D463" s="3">
        <v>10</v>
      </c>
      <c r="E463" s="4">
        <v>6</v>
      </c>
      <c r="F463" s="4">
        <v>6</v>
      </c>
      <c r="K463" s="4">
        <v>6</v>
      </c>
      <c r="L463" s="4">
        <v>5</v>
      </c>
      <c r="M463" s="4">
        <v>6</v>
      </c>
      <c r="N463" s="4">
        <v>7</v>
      </c>
      <c r="O463" s="4">
        <v>6</v>
      </c>
      <c r="P463" s="4">
        <v>5</v>
      </c>
      <c r="AG463" s="4">
        <v>7</v>
      </c>
      <c r="AH463" s="4">
        <v>8</v>
      </c>
      <c r="AY463" s="3" t="s">
        <v>22</v>
      </c>
      <c r="AZ463" s="3" t="s">
        <v>22</v>
      </c>
      <c r="BA463" s="3" t="s">
        <v>1034</v>
      </c>
      <c r="BD463" s="3" t="s">
        <v>618</v>
      </c>
      <c r="BE463" s="3" t="s">
        <v>623</v>
      </c>
      <c r="BF463" s="3" t="s">
        <v>1035</v>
      </c>
      <c r="BG463" s="3" t="s">
        <v>1036</v>
      </c>
      <c r="BH463" s="3" t="s">
        <v>247</v>
      </c>
    </row>
    <row r="464" spans="1:60" x14ac:dyDescent="0.3">
      <c r="A464" s="3" t="s">
        <v>1141</v>
      </c>
      <c r="B464" s="3" t="s">
        <v>16</v>
      </c>
      <c r="C464" s="3">
        <v>16</v>
      </c>
      <c r="D464" s="3">
        <v>8</v>
      </c>
      <c r="E464" s="4">
        <v>10</v>
      </c>
      <c r="F464" s="4">
        <v>10</v>
      </c>
      <c r="K464" s="4">
        <v>8</v>
      </c>
      <c r="L464" s="4">
        <v>9</v>
      </c>
      <c r="M464" s="4">
        <v>10</v>
      </c>
      <c r="N464" s="4">
        <v>9</v>
      </c>
      <c r="O464" s="4">
        <v>8</v>
      </c>
      <c r="P464" s="4">
        <v>7</v>
      </c>
      <c r="AG464" s="4">
        <v>10</v>
      </c>
      <c r="AH464" s="4">
        <v>10</v>
      </c>
      <c r="AY464" s="3" t="s">
        <v>18</v>
      </c>
      <c r="AZ464" s="3" t="s">
        <v>18</v>
      </c>
      <c r="BD464" s="3" t="s">
        <v>618</v>
      </c>
      <c r="BE464" s="3" t="s">
        <v>619</v>
      </c>
      <c r="BF464" s="3" t="s">
        <v>1037</v>
      </c>
      <c r="BG464" s="3" t="s">
        <v>1038</v>
      </c>
      <c r="BH464" s="3" t="s">
        <v>1039</v>
      </c>
    </row>
    <row r="465" spans="1:60" x14ac:dyDescent="0.3">
      <c r="A465" s="3" t="s">
        <v>1141</v>
      </c>
      <c r="B465" s="3" t="s">
        <v>26</v>
      </c>
      <c r="C465" s="3">
        <v>17</v>
      </c>
      <c r="D465" s="3">
        <v>10</v>
      </c>
      <c r="E465" s="5">
        <v>8</v>
      </c>
      <c r="F465" s="5">
        <v>8</v>
      </c>
      <c r="G465" s="5"/>
      <c r="H465" s="5"/>
      <c r="I465" s="5"/>
      <c r="J465" s="5"/>
      <c r="K465" s="5">
        <v>8</v>
      </c>
      <c r="L465" s="5">
        <v>8</v>
      </c>
      <c r="M465" s="5">
        <v>9</v>
      </c>
      <c r="N465" s="5">
        <v>9</v>
      </c>
      <c r="O465" s="5">
        <v>7</v>
      </c>
      <c r="P465" s="5">
        <v>8</v>
      </c>
      <c r="Q465" s="5"/>
      <c r="R465" s="5"/>
      <c r="S465" s="5"/>
      <c r="T465" s="5"/>
      <c r="U465" s="5"/>
      <c r="V465" s="5"/>
      <c r="W465" s="5"/>
      <c r="X465" s="5"/>
      <c r="Y465" s="5"/>
      <c r="Z465" s="5"/>
      <c r="AA465" s="5"/>
      <c r="AB465" s="5"/>
      <c r="AC465" s="5"/>
      <c r="AD465" s="5"/>
      <c r="AE465" s="5"/>
      <c r="AF465" s="5"/>
      <c r="AG465" s="5">
        <v>8</v>
      </c>
      <c r="AH465" s="5">
        <v>9</v>
      </c>
      <c r="AI465" s="5"/>
      <c r="AJ465" s="5"/>
      <c r="AK465" s="5"/>
      <c r="AL465" s="5"/>
      <c r="AM465" s="5"/>
      <c r="AN465" s="5"/>
      <c r="AO465" s="5"/>
      <c r="AP465" s="5"/>
      <c r="AQ465" s="5"/>
      <c r="AR465" s="5"/>
      <c r="AS465" s="5"/>
      <c r="AT465" s="5"/>
      <c r="AU465" s="5"/>
      <c r="AV465" s="5"/>
      <c r="AW465" s="5"/>
      <c r="AX465" s="5"/>
      <c r="AY465" s="3" t="s">
        <v>18</v>
      </c>
      <c r="AZ465" s="3" t="s">
        <v>22</v>
      </c>
      <c r="BD465" s="3" t="s">
        <v>656</v>
      </c>
      <c r="BE465" s="3" t="s">
        <v>619</v>
      </c>
      <c r="BF465" s="3" t="s">
        <v>1040</v>
      </c>
      <c r="BG465" s="3" t="s">
        <v>1041</v>
      </c>
    </row>
    <row r="466" spans="1:60" x14ac:dyDescent="0.3">
      <c r="A466" s="3" t="s">
        <v>1141</v>
      </c>
      <c r="B466" s="3" t="s">
        <v>16</v>
      </c>
      <c r="C466" s="3">
        <v>17</v>
      </c>
      <c r="D466" s="3">
        <v>9</v>
      </c>
      <c r="E466" s="4">
        <v>8</v>
      </c>
      <c r="F466" s="4">
        <v>10</v>
      </c>
      <c r="K466" s="4">
        <v>7</v>
      </c>
      <c r="L466" s="4">
        <v>9</v>
      </c>
      <c r="AA466" s="4">
        <v>10</v>
      </c>
      <c r="AB466" s="4">
        <v>10</v>
      </c>
      <c r="AI466" s="4">
        <v>9</v>
      </c>
      <c r="AJ466" s="4">
        <v>10</v>
      </c>
      <c r="AQ466" s="4">
        <v>9</v>
      </c>
      <c r="AR466" s="4">
        <v>10</v>
      </c>
      <c r="AY466" s="3" t="s">
        <v>22</v>
      </c>
      <c r="AZ466" s="3" t="s">
        <v>22</v>
      </c>
      <c r="BD466" s="3" t="s">
        <v>618</v>
      </c>
      <c r="BE466" s="3" t="s">
        <v>619</v>
      </c>
      <c r="BF466" s="3" t="s">
        <v>1042</v>
      </c>
      <c r="BG466" s="3" t="s">
        <v>24</v>
      </c>
    </row>
    <row r="467" spans="1:60" x14ac:dyDescent="0.3">
      <c r="A467" s="3" t="s">
        <v>1141</v>
      </c>
      <c r="B467" s="3" t="s">
        <v>26</v>
      </c>
      <c r="C467" s="3">
        <v>16</v>
      </c>
      <c r="D467" s="3">
        <v>8</v>
      </c>
      <c r="G467" s="4">
        <v>9</v>
      </c>
      <c r="H467" s="4">
        <v>9</v>
      </c>
      <c r="K467" s="4">
        <v>6</v>
      </c>
      <c r="L467" s="4">
        <v>7</v>
      </c>
      <c r="S467" s="4">
        <v>8</v>
      </c>
      <c r="T467" s="4">
        <v>7</v>
      </c>
      <c r="AQ467" s="4">
        <v>9</v>
      </c>
      <c r="AR467" s="4">
        <v>9</v>
      </c>
      <c r="AU467" s="4">
        <v>6</v>
      </c>
      <c r="AV467" s="4">
        <v>6</v>
      </c>
      <c r="AY467" s="3" t="s">
        <v>22</v>
      </c>
      <c r="AZ467" s="3" t="s">
        <v>22</v>
      </c>
      <c r="BD467" s="3" t="s">
        <v>656</v>
      </c>
      <c r="BE467" s="3" t="s">
        <v>623</v>
      </c>
      <c r="BF467" s="3" t="s">
        <v>1043</v>
      </c>
      <c r="BG467" s="3" t="s">
        <v>1044</v>
      </c>
      <c r="BH467" s="3" t="s">
        <v>1045</v>
      </c>
    </row>
    <row r="468" spans="1:60" x14ac:dyDescent="0.3">
      <c r="A468" s="3" t="s">
        <v>1141</v>
      </c>
      <c r="B468" s="3" t="s">
        <v>16</v>
      </c>
      <c r="C468" s="3">
        <v>16</v>
      </c>
      <c r="D468" s="3">
        <v>7</v>
      </c>
      <c r="G468" s="4">
        <v>9</v>
      </c>
      <c r="H468" s="4">
        <v>10</v>
      </c>
      <c r="K468" s="4">
        <v>7</v>
      </c>
      <c r="L468" s="4">
        <v>9</v>
      </c>
      <c r="S468" s="4">
        <v>5</v>
      </c>
      <c r="T468" s="4">
        <v>4</v>
      </c>
      <c r="AQ468" s="4">
        <v>9</v>
      </c>
      <c r="AR468" s="4">
        <v>7</v>
      </c>
      <c r="AU468" s="4">
        <v>5</v>
      </c>
      <c r="AV468" s="4">
        <v>8</v>
      </c>
      <c r="AY468" s="3" t="s">
        <v>22</v>
      </c>
      <c r="AZ468" s="3" t="s">
        <v>18</v>
      </c>
      <c r="BD468" s="3" t="s">
        <v>656</v>
      </c>
      <c r="BE468" s="3" t="s">
        <v>619</v>
      </c>
      <c r="BF468" s="3" t="s">
        <v>1046</v>
      </c>
      <c r="BG468" s="3" t="s">
        <v>562</v>
      </c>
    </row>
    <row r="469" spans="1:60" x14ac:dyDescent="0.3">
      <c r="A469" s="3" t="s">
        <v>1141</v>
      </c>
      <c r="B469" s="3" t="s">
        <v>16</v>
      </c>
      <c r="C469" s="3">
        <v>16</v>
      </c>
      <c r="D469" s="3">
        <v>8</v>
      </c>
      <c r="G469" s="4">
        <v>10</v>
      </c>
      <c r="H469" s="4">
        <v>10</v>
      </c>
      <c r="K469" s="4">
        <v>7</v>
      </c>
      <c r="L469" s="4">
        <v>9</v>
      </c>
      <c r="S469" s="4">
        <v>5</v>
      </c>
      <c r="T469" s="4">
        <v>5</v>
      </c>
      <c r="AQ469" s="4">
        <v>7</v>
      </c>
      <c r="AR469" s="4">
        <v>7</v>
      </c>
      <c r="AU469" s="4">
        <v>5</v>
      </c>
      <c r="AV469" s="4">
        <v>7</v>
      </c>
      <c r="AY469" s="3" t="s">
        <v>22</v>
      </c>
      <c r="AZ469" s="3" t="s">
        <v>22</v>
      </c>
      <c r="BD469" s="3" t="s">
        <v>656</v>
      </c>
      <c r="BE469" s="3" t="s">
        <v>619</v>
      </c>
      <c r="BF469" s="3" t="s">
        <v>295</v>
      </c>
      <c r="BG469" s="3" t="s">
        <v>1047</v>
      </c>
    </row>
    <row r="470" spans="1:60" x14ac:dyDescent="0.3">
      <c r="A470" s="3" t="s">
        <v>1141</v>
      </c>
      <c r="B470" s="3" t="s">
        <v>26</v>
      </c>
      <c r="C470" s="3">
        <v>17</v>
      </c>
      <c r="D470" s="3">
        <v>8</v>
      </c>
      <c r="G470" s="4">
        <v>8</v>
      </c>
      <c r="H470" s="4">
        <v>10</v>
      </c>
      <c r="K470" s="4">
        <v>7</v>
      </c>
      <c r="L470" s="4">
        <v>7</v>
      </c>
      <c r="S470" s="4">
        <v>7</v>
      </c>
      <c r="T470" s="4">
        <v>8</v>
      </c>
      <c r="AQ470" s="4">
        <v>9</v>
      </c>
      <c r="AR470" s="4">
        <v>9</v>
      </c>
      <c r="AU470" s="4">
        <v>4</v>
      </c>
      <c r="AV470" s="4">
        <v>5</v>
      </c>
      <c r="AY470" s="3" t="s">
        <v>22</v>
      </c>
      <c r="AZ470" s="3" t="s">
        <v>18</v>
      </c>
      <c r="BD470" s="3" t="s">
        <v>656</v>
      </c>
      <c r="BE470" s="3" t="s">
        <v>619</v>
      </c>
      <c r="BF470" s="3" t="s">
        <v>1048</v>
      </c>
      <c r="BG470" s="3" t="s">
        <v>1049</v>
      </c>
    </row>
    <row r="471" spans="1:60" x14ac:dyDescent="0.3">
      <c r="A471" s="3" t="s">
        <v>1141</v>
      </c>
      <c r="B471" s="3" t="s">
        <v>26</v>
      </c>
      <c r="C471" s="3">
        <v>16</v>
      </c>
      <c r="D471" s="3">
        <v>10</v>
      </c>
      <c r="G471" s="4">
        <v>6</v>
      </c>
      <c r="H471" s="4">
        <v>9</v>
      </c>
      <c r="K471" s="4">
        <v>10</v>
      </c>
      <c r="L471" s="4">
        <v>10</v>
      </c>
      <c r="S471" s="4">
        <v>10</v>
      </c>
      <c r="T471" s="4">
        <v>10</v>
      </c>
      <c r="AQ471" s="4">
        <v>10</v>
      </c>
      <c r="AR471" s="4">
        <v>8</v>
      </c>
      <c r="AU471" s="4">
        <v>1</v>
      </c>
      <c r="AV471" s="4">
        <v>1</v>
      </c>
      <c r="AY471" s="3" t="s">
        <v>22</v>
      </c>
      <c r="AZ471" s="3" t="s">
        <v>18</v>
      </c>
      <c r="BA471" s="3" t="s">
        <v>1050</v>
      </c>
      <c r="BD471" s="3" t="s">
        <v>656</v>
      </c>
      <c r="BE471" s="3" t="s">
        <v>623</v>
      </c>
      <c r="BF471" s="3" t="s">
        <v>455</v>
      </c>
      <c r="BG471" s="3" t="s">
        <v>1051</v>
      </c>
      <c r="BH471" s="3" t="s">
        <v>1052</v>
      </c>
    </row>
    <row r="472" spans="1:60" x14ac:dyDescent="0.3">
      <c r="A472" s="3" t="s">
        <v>1141</v>
      </c>
      <c r="B472" s="3" t="s">
        <v>26</v>
      </c>
      <c r="C472" s="3">
        <v>16</v>
      </c>
      <c r="D472" s="3">
        <v>8</v>
      </c>
      <c r="G472" s="4">
        <v>10</v>
      </c>
      <c r="H472" s="4">
        <v>10</v>
      </c>
      <c r="K472" s="4">
        <v>8</v>
      </c>
      <c r="L472" s="4">
        <v>9</v>
      </c>
      <c r="S472" s="4">
        <v>7</v>
      </c>
      <c r="T472" s="4">
        <v>8</v>
      </c>
      <c r="AQ472" s="4">
        <v>10</v>
      </c>
      <c r="AR472" s="4">
        <v>9</v>
      </c>
      <c r="AU472" s="4">
        <v>6</v>
      </c>
      <c r="AV472" s="4">
        <v>7</v>
      </c>
      <c r="AY472" s="3" t="s">
        <v>18</v>
      </c>
      <c r="AZ472" s="3" t="s">
        <v>22</v>
      </c>
      <c r="BA472" s="3" t="s">
        <v>1053</v>
      </c>
      <c r="BD472" s="3" t="s">
        <v>618</v>
      </c>
      <c r="BE472" s="3" t="s">
        <v>623</v>
      </c>
      <c r="BF472" s="3" t="s">
        <v>1054</v>
      </c>
      <c r="BG472" s="3" t="s">
        <v>31</v>
      </c>
      <c r="BH472" s="3" t="s">
        <v>1055</v>
      </c>
    </row>
    <row r="473" spans="1:60" x14ac:dyDescent="0.3">
      <c r="A473" s="3" t="s">
        <v>1141</v>
      </c>
      <c r="B473" s="3" t="s">
        <v>26</v>
      </c>
      <c r="C473" s="3">
        <v>16</v>
      </c>
      <c r="D473" s="3">
        <v>10</v>
      </c>
      <c r="G473" s="4">
        <v>8</v>
      </c>
      <c r="H473" s="4">
        <v>7</v>
      </c>
      <c r="K473" s="4">
        <v>10</v>
      </c>
      <c r="L473" s="4">
        <v>10</v>
      </c>
      <c r="S473" s="4">
        <v>10</v>
      </c>
      <c r="T473" s="4">
        <v>10</v>
      </c>
      <c r="AQ473" s="4">
        <v>8</v>
      </c>
      <c r="AR473" s="4">
        <v>7</v>
      </c>
      <c r="AU473" s="4">
        <v>1</v>
      </c>
      <c r="AV473" s="4">
        <v>1</v>
      </c>
      <c r="AY473" s="3" t="s">
        <v>18</v>
      </c>
      <c r="AZ473" s="3" t="s">
        <v>18</v>
      </c>
      <c r="BA473" s="3" t="s">
        <v>1056</v>
      </c>
      <c r="BD473" s="3" t="s">
        <v>656</v>
      </c>
      <c r="BE473" s="3" t="s">
        <v>619</v>
      </c>
      <c r="BF473" s="3" t="s">
        <v>1057</v>
      </c>
      <c r="BG473" s="3" t="s">
        <v>1058</v>
      </c>
      <c r="BH473" s="3" t="s">
        <v>1059</v>
      </c>
    </row>
    <row r="474" spans="1:60" x14ac:dyDescent="0.3">
      <c r="A474" s="3" t="s">
        <v>1141</v>
      </c>
      <c r="B474" s="3" t="s">
        <v>26</v>
      </c>
      <c r="C474" s="3">
        <v>16</v>
      </c>
      <c r="D474" s="3">
        <v>5</v>
      </c>
      <c r="G474" s="4">
        <v>10</v>
      </c>
      <c r="H474" s="4">
        <v>10</v>
      </c>
      <c r="K474" s="4">
        <v>9</v>
      </c>
      <c r="L474" s="4">
        <v>9</v>
      </c>
      <c r="S474" s="4">
        <v>8</v>
      </c>
      <c r="T474" s="4">
        <v>7</v>
      </c>
      <c r="AQ474" s="4">
        <v>6</v>
      </c>
      <c r="AR474" s="4">
        <v>7</v>
      </c>
      <c r="AU474" s="4">
        <v>4</v>
      </c>
      <c r="AV474" s="4">
        <v>4</v>
      </c>
      <c r="AY474" s="3" t="s">
        <v>22</v>
      </c>
      <c r="AZ474" s="3" t="s">
        <v>18</v>
      </c>
      <c r="BA474" s="3" t="s">
        <v>1060</v>
      </c>
      <c r="BD474" s="3" t="s">
        <v>618</v>
      </c>
      <c r="BE474" s="3" t="s">
        <v>623</v>
      </c>
      <c r="BF474" s="3" t="s">
        <v>1061</v>
      </c>
      <c r="BG474" s="3" t="s">
        <v>1062</v>
      </c>
      <c r="BH474" s="3" t="s">
        <v>1063</v>
      </c>
    </row>
    <row r="475" spans="1:60" x14ac:dyDescent="0.3">
      <c r="A475" s="3" t="s">
        <v>1141</v>
      </c>
      <c r="B475" s="3" t="s">
        <v>16</v>
      </c>
      <c r="C475" s="3">
        <v>17</v>
      </c>
      <c r="D475" s="3">
        <v>10</v>
      </c>
      <c r="G475" s="4">
        <v>9</v>
      </c>
      <c r="H475" s="4">
        <v>10</v>
      </c>
      <c r="K475" s="4">
        <v>8</v>
      </c>
      <c r="L475" s="4">
        <v>9</v>
      </c>
      <c r="S475" s="4">
        <v>8</v>
      </c>
      <c r="T475" s="4">
        <v>9</v>
      </c>
      <c r="AQ475" s="4">
        <v>10</v>
      </c>
      <c r="AR475" s="4">
        <v>9</v>
      </c>
      <c r="AU475" s="4">
        <v>8</v>
      </c>
      <c r="AV475" s="4">
        <v>10</v>
      </c>
      <c r="AY475" s="3" t="s">
        <v>18</v>
      </c>
      <c r="AZ475" s="3" t="s">
        <v>18</v>
      </c>
      <c r="BD475" s="3" t="s">
        <v>618</v>
      </c>
      <c r="BE475" s="3" t="s">
        <v>623</v>
      </c>
      <c r="BF475" s="3" t="s">
        <v>1064</v>
      </c>
      <c r="BG475" s="3" t="s">
        <v>327</v>
      </c>
    </row>
    <row r="476" spans="1:60" x14ac:dyDescent="0.3">
      <c r="A476" s="3" t="s">
        <v>1141</v>
      </c>
      <c r="B476" s="3" t="s">
        <v>26</v>
      </c>
      <c r="C476" s="3">
        <v>17</v>
      </c>
      <c r="D476" s="3">
        <v>6</v>
      </c>
      <c r="G476" s="4">
        <v>8</v>
      </c>
      <c r="H476" s="4">
        <v>8</v>
      </c>
      <c r="K476" s="4">
        <v>4</v>
      </c>
      <c r="L476" s="4">
        <v>4</v>
      </c>
      <c r="S476" s="4">
        <v>6</v>
      </c>
      <c r="T476" s="4">
        <v>6</v>
      </c>
      <c r="AQ476" s="4">
        <v>6</v>
      </c>
      <c r="AR476" s="4">
        <v>6</v>
      </c>
      <c r="AU476" s="4">
        <v>4</v>
      </c>
      <c r="AV476" s="4">
        <v>4</v>
      </c>
      <c r="AY476" s="3" t="s">
        <v>22</v>
      </c>
      <c r="AZ476" s="3" t="s">
        <v>17</v>
      </c>
      <c r="BA476" s="3" t="s">
        <v>1065</v>
      </c>
      <c r="BD476" s="3" t="s">
        <v>656</v>
      </c>
      <c r="BE476" s="3" t="s">
        <v>619</v>
      </c>
      <c r="BF476" s="3" t="s">
        <v>100</v>
      </c>
      <c r="BG476" s="3" t="s">
        <v>1066</v>
      </c>
      <c r="BH476" s="3" t="s">
        <v>1067</v>
      </c>
    </row>
    <row r="477" spans="1:60" x14ac:dyDescent="0.3">
      <c r="A477" s="3" t="s">
        <v>1141</v>
      </c>
      <c r="B477" s="3" t="s">
        <v>16</v>
      </c>
      <c r="C477" s="3">
        <v>17</v>
      </c>
      <c r="D477" s="3">
        <v>8</v>
      </c>
      <c r="G477" s="4">
        <v>9</v>
      </c>
      <c r="H477" s="4">
        <v>9</v>
      </c>
      <c r="K477" s="4">
        <v>8</v>
      </c>
      <c r="L477" s="4">
        <v>8</v>
      </c>
      <c r="S477" s="4">
        <v>9</v>
      </c>
      <c r="T477" s="4">
        <v>9</v>
      </c>
      <c r="AQ477" s="4">
        <v>8</v>
      </c>
      <c r="AR477" s="4">
        <v>8</v>
      </c>
      <c r="AU477" s="4">
        <v>10</v>
      </c>
      <c r="AV477" s="4">
        <v>10</v>
      </c>
      <c r="AY477" s="3" t="s">
        <v>18</v>
      </c>
      <c r="AZ477" s="3" t="s">
        <v>18</v>
      </c>
      <c r="BA477" s="3" t="s">
        <v>1068</v>
      </c>
      <c r="BD477" s="3" t="s">
        <v>618</v>
      </c>
      <c r="BE477" s="3" t="s">
        <v>623</v>
      </c>
      <c r="BF477" s="3" t="s">
        <v>1069</v>
      </c>
      <c r="BG477" s="3" t="s">
        <v>1070</v>
      </c>
    </row>
    <row r="478" spans="1:60" x14ac:dyDescent="0.3">
      <c r="A478" s="3" t="s">
        <v>1141</v>
      </c>
      <c r="B478" s="3" t="s">
        <v>16</v>
      </c>
      <c r="C478" s="3">
        <v>16</v>
      </c>
      <c r="D478" s="3">
        <v>8</v>
      </c>
      <c r="G478" s="4">
        <v>8</v>
      </c>
      <c r="H478" s="4">
        <v>8</v>
      </c>
      <c r="K478" s="4">
        <v>7</v>
      </c>
      <c r="L478" s="4">
        <v>9</v>
      </c>
      <c r="S478" s="4">
        <v>6</v>
      </c>
      <c r="T478" s="4">
        <v>5</v>
      </c>
      <c r="AQ478" s="4">
        <v>10</v>
      </c>
      <c r="AR478" s="4">
        <v>10</v>
      </c>
      <c r="AU478" s="4">
        <v>1</v>
      </c>
      <c r="AV478" s="4">
        <v>1</v>
      </c>
      <c r="AY478" s="3" t="s">
        <v>17</v>
      </c>
      <c r="BB478" s="3" t="s">
        <v>18</v>
      </c>
      <c r="BC478" s="3" t="s">
        <v>22</v>
      </c>
      <c r="BD478" s="3" t="s">
        <v>615</v>
      </c>
      <c r="BE478" s="3" t="s">
        <v>619</v>
      </c>
      <c r="BF478" s="3" t="s">
        <v>1071</v>
      </c>
      <c r="BG478" s="3" t="s">
        <v>1072</v>
      </c>
      <c r="BH478" s="3" t="s">
        <v>1073</v>
      </c>
    </row>
    <row r="479" spans="1:60" x14ac:dyDescent="0.3">
      <c r="A479" s="3" t="s">
        <v>1141</v>
      </c>
      <c r="B479" s="3" t="s">
        <v>26</v>
      </c>
      <c r="C479" s="3">
        <v>16</v>
      </c>
      <c r="D479" s="3">
        <v>8</v>
      </c>
      <c r="G479" s="4">
        <v>8</v>
      </c>
      <c r="H479" s="4">
        <v>8</v>
      </c>
      <c r="K479" s="4">
        <v>8</v>
      </c>
      <c r="L479" s="4">
        <v>8</v>
      </c>
      <c r="S479" s="4">
        <v>8</v>
      </c>
      <c r="T479" s="4">
        <v>8</v>
      </c>
      <c r="AQ479" s="4">
        <v>8</v>
      </c>
      <c r="AR479" s="4">
        <v>7</v>
      </c>
      <c r="AU479" s="4">
        <v>8</v>
      </c>
      <c r="AV479" s="4">
        <v>8</v>
      </c>
      <c r="AY479" s="3" t="s">
        <v>22</v>
      </c>
      <c r="AZ479" s="3" t="s">
        <v>18</v>
      </c>
      <c r="BA479" s="3" t="s">
        <v>1074</v>
      </c>
      <c r="BD479" s="3" t="s">
        <v>618</v>
      </c>
      <c r="BE479" s="3" t="s">
        <v>619</v>
      </c>
      <c r="BF479" s="3" t="s">
        <v>1075</v>
      </c>
      <c r="BG479" s="3" t="s">
        <v>1076</v>
      </c>
      <c r="BH479" s="3" t="s">
        <v>1077</v>
      </c>
    </row>
    <row r="480" spans="1:60" x14ac:dyDescent="0.3">
      <c r="A480" s="3" t="s">
        <v>1141</v>
      </c>
      <c r="B480" s="3" t="s">
        <v>26</v>
      </c>
      <c r="C480" s="3">
        <v>16</v>
      </c>
      <c r="D480" s="3">
        <v>7</v>
      </c>
      <c r="G480" s="4">
        <v>7</v>
      </c>
      <c r="H480" s="4">
        <v>7</v>
      </c>
      <c r="K480" s="4">
        <v>6</v>
      </c>
      <c r="L480" s="4">
        <v>6</v>
      </c>
      <c r="S480" s="4">
        <v>10</v>
      </c>
      <c r="T480" s="4">
        <v>10</v>
      </c>
      <c r="AQ480" s="4">
        <v>7</v>
      </c>
      <c r="AR480" s="4">
        <v>7</v>
      </c>
      <c r="AU480" s="4">
        <v>1</v>
      </c>
      <c r="AV480" s="4">
        <v>1</v>
      </c>
      <c r="AY480" s="3" t="s">
        <v>22</v>
      </c>
      <c r="AZ480" s="3" t="s">
        <v>22</v>
      </c>
      <c r="BD480" s="3" t="s">
        <v>656</v>
      </c>
      <c r="BE480" s="3" t="s">
        <v>619</v>
      </c>
      <c r="BF480" s="3" t="s">
        <v>35</v>
      </c>
      <c r="BG480" s="3" t="s">
        <v>1078</v>
      </c>
    </row>
    <row r="481" spans="1:60" x14ac:dyDescent="0.3">
      <c r="A481" s="3" t="s">
        <v>1141</v>
      </c>
      <c r="B481" s="3" t="s">
        <v>26</v>
      </c>
      <c r="C481" s="3">
        <v>16</v>
      </c>
      <c r="D481" s="3">
        <v>6</v>
      </c>
      <c r="G481" s="4">
        <v>5</v>
      </c>
      <c r="H481" s="4">
        <v>8</v>
      </c>
      <c r="K481" s="4">
        <v>5</v>
      </c>
      <c r="L481" s="4">
        <v>7</v>
      </c>
      <c r="S481" s="4">
        <v>6</v>
      </c>
      <c r="T481" s="4">
        <v>5</v>
      </c>
      <c r="AQ481" s="4">
        <v>9</v>
      </c>
      <c r="AR481" s="4">
        <v>8</v>
      </c>
      <c r="AU481" s="4">
        <v>1</v>
      </c>
      <c r="AV481" s="4">
        <v>1</v>
      </c>
      <c r="AY481" s="3" t="s">
        <v>18</v>
      </c>
      <c r="AZ481" s="3" t="s">
        <v>18</v>
      </c>
      <c r="BA481" s="3" t="s">
        <v>1079</v>
      </c>
      <c r="BD481" s="3" t="s">
        <v>618</v>
      </c>
      <c r="BE481" s="3" t="s">
        <v>619</v>
      </c>
      <c r="BF481" s="3" t="s">
        <v>1080</v>
      </c>
      <c r="BG481" s="3" t="s">
        <v>1081</v>
      </c>
      <c r="BH481" s="3" t="s">
        <v>1082</v>
      </c>
    </row>
    <row r="482" spans="1:60" x14ac:dyDescent="0.3">
      <c r="A482" s="3" t="s">
        <v>1141</v>
      </c>
      <c r="B482" s="3" t="s">
        <v>26</v>
      </c>
      <c r="C482" s="3">
        <v>17</v>
      </c>
      <c r="D482" s="3">
        <v>6</v>
      </c>
      <c r="G482" s="4">
        <v>5</v>
      </c>
      <c r="H482" s="4">
        <v>8</v>
      </c>
      <c r="K482" s="4">
        <v>5</v>
      </c>
      <c r="L482" s="4">
        <v>9</v>
      </c>
      <c r="S482" s="4">
        <v>8</v>
      </c>
      <c r="T482" s="4">
        <v>4</v>
      </c>
      <c r="AQ482" s="4">
        <v>10</v>
      </c>
      <c r="AR482" s="4">
        <v>7</v>
      </c>
      <c r="AU482" s="4">
        <v>1</v>
      </c>
      <c r="AV482" s="4">
        <v>1</v>
      </c>
      <c r="AY482" s="3" t="s">
        <v>18</v>
      </c>
      <c r="AZ482" s="3" t="s">
        <v>18</v>
      </c>
      <c r="BA482" s="3" t="s">
        <v>1083</v>
      </c>
      <c r="BD482" s="3" t="s">
        <v>618</v>
      </c>
      <c r="BE482" s="3" t="s">
        <v>619</v>
      </c>
      <c r="BF482" s="3" t="s">
        <v>1084</v>
      </c>
      <c r="BG482" s="3" t="s">
        <v>1085</v>
      </c>
      <c r="BH482" s="3" t="s">
        <v>1086</v>
      </c>
    </row>
    <row r="483" spans="1:60" x14ac:dyDescent="0.3">
      <c r="A483" s="3" t="s">
        <v>1141</v>
      </c>
      <c r="B483" s="3" t="s">
        <v>26</v>
      </c>
      <c r="C483" s="3">
        <v>17</v>
      </c>
      <c r="D483" s="3">
        <v>10</v>
      </c>
      <c r="G483" s="4">
        <v>5</v>
      </c>
      <c r="H483" s="4">
        <v>9</v>
      </c>
      <c r="K483" s="4">
        <v>8</v>
      </c>
      <c r="L483" s="4">
        <v>8</v>
      </c>
      <c r="S483" s="4">
        <v>8</v>
      </c>
      <c r="T483" s="4">
        <v>8</v>
      </c>
      <c r="AQ483" s="4">
        <v>8</v>
      </c>
      <c r="AR483" s="4">
        <v>9</v>
      </c>
      <c r="AU483" s="4">
        <v>1</v>
      </c>
      <c r="AV483" s="4">
        <v>1</v>
      </c>
      <c r="AY483" s="3" t="s">
        <v>17</v>
      </c>
      <c r="BB483" s="3" t="s">
        <v>18</v>
      </c>
      <c r="BC483" s="3" t="s">
        <v>22</v>
      </c>
      <c r="BD483" s="3" t="s">
        <v>618</v>
      </c>
      <c r="BE483" s="3" t="s">
        <v>619</v>
      </c>
      <c r="BF483" s="3" t="s">
        <v>1087</v>
      </c>
      <c r="BG483" s="3" t="s">
        <v>1088</v>
      </c>
    </row>
    <row r="484" spans="1:60" x14ac:dyDescent="0.3">
      <c r="A484" s="3" t="s">
        <v>1141</v>
      </c>
      <c r="B484" s="3" t="s">
        <v>26</v>
      </c>
      <c r="C484" s="3">
        <v>17</v>
      </c>
      <c r="D484" s="3">
        <v>6</v>
      </c>
      <c r="K484" s="4">
        <v>7</v>
      </c>
      <c r="L484" s="4">
        <v>7</v>
      </c>
      <c r="U484" s="4">
        <v>8</v>
      </c>
      <c r="V484" s="4">
        <v>8</v>
      </c>
      <c r="AC484" s="4">
        <v>5</v>
      </c>
      <c r="AD484" s="4">
        <v>6</v>
      </c>
      <c r="AU484" s="4">
        <v>3</v>
      </c>
      <c r="AV484" s="4">
        <v>3</v>
      </c>
      <c r="AY484" s="3" t="s">
        <v>22</v>
      </c>
      <c r="AZ484" s="3" t="s">
        <v>17</v>
      </c>
      <c r="BA484" s="3" t="s">
        <v>1089</v>
      </c>
      <c r="BD484" s="3" t="s">
        <v>656</v>
      </c>
      <c r="BE484" s="3" t="s">
        <v>619</v>
      </c>
      <c r="BF484" s="3" t="s">
        <v>302</v>
      </c>
      <c r="BG484" s="3" t="s">
        <v>1051</v>
      </c>
      <c r="BH484" s="3" t="s">
        <v>1090</v>
      </c>
    </row>
    <row r="485" spans="1:60" x14ac:dyDescent="0.3">
      <c r="A485" s="3" t="s">
        <v>1141</v>
      </c>
      <c r="B485" s="3" t="s">
        <v>26</v>
      </c>
      <c r="C485" s="3">
        <v>16</v>
      </c>
      <c r="D485" s="3">
        <v>6</v>
      </c>
      <c r="K485" s="4">
        <v>6</v>
      </c>
      <c r="L485" s="4">
        <v>7</v>
      </c>
      <c r="U485" s="4">
        <v>8</v>
      </c>
      <c r="V485" s="4">
        <v>8</v>
      </c>
      <c r="AC485" s="4">
        <v>5</v>
      </c>
      <c r="AD485" s="4">
        <v>6</v>
      </c>
      <c r="AU485" s="4">
        <v>2</v>
      </c>
      <c r="AV485" s="4">
        <v>3</v>
      </c>
      <c r="AY485" s="3" t="s">
        <v>18</v>
      </c>
      <c r="AZ485" s="3" t="s">
        <v>17</v>
      </c>
      <c r="BA485" s="3" t="s">
        <v>1091</v>
      </c>
      <c r="BD485" s="3" t="s">
        <v>656</v>
      </c>
      <c r="BE485" s="3" t="s">
        <v>619</v>
      </c>
      <c r="BF485" s="3" t="s">
        <v>358</v>
      </c>
      <c r="BG485" s="3" t="s">
        <v>1051</v>
      </c>
      <c r="BH485" s="3" t="s">
        <v>1092</v>
      </c>
    </row>
    <row r="486" spans="1:60" x14ac:dyDescent="0.3">
      <c r="A486" s="3" t="s">
        <v>1141</v>
      </c>
      <c r="B486" s="3" t="s">
        <v>16</v>
      </c>
      <c r="C486" s="3">
        <v>17</v>
      </c>
      <c r="D486" s="3">
        <v>8</v>
      </c>
      <c r="K486" s="4">
        <v>8</v>
      </c>
      <c r="L486" s="4">
        <v>5</v>
      </c>
      <c r="U486" s="4">
        <v>10</v>
      </c>
      <c r="V486" s="4">
        <v>8</v>
      </c>
      <c r="AC486" s="4">
        <v>10</v>
      </c>
      <c r="AD486" s="4">
        <v>9</v>
      </c>
      <c r="AU486" s="4">
        <v>5</v>
      </c>
      <c r="AV486" s="4">
        <v>6</v>
      </c>
      <c r="AY486" s="3" t="s">
        <v>17</v>
      </c>
      <c r="BB486" s="3" t="s">
        <v>17</v>
      </c>
      <c r="BC486" s="3" t="s">
        <v>22</v>
      </c>
      <c r="BD486" s="3" t="s">
        <v>615</v>
      </c>
      <c r="BE486" s="3" t="s">
        <v>619</v>
      </c>
      <c r="BF486" s="3" t="s">
        <v>1093</v>
      </c>
      <c r="BG486" s="3" t="s">
        <v>1094</v>
      </c>
    </row>
    <row r="487" spans="1:60" x14ac:dyDescent="0.3">
      <c r="A487" s="3" t="s">
        <v>1141</v>
      </c>
      <c r="B487" s="3" t="s">
        <v>26</v>
      </c>
      <c r="C487" s="3">
        <v>17</v>
      </c>
      <c r="D487" s="3">
        <v>9</v>
      </c>
      <c r="K487" s="4">
        <v>10</v>
      </c>
      <c r="L487" s="4">
        <v>10</v>
      </c>
      <c r="U487" s="4">
        <v>10</v>
      </c>
      <c r="V487" s="4">
        <v>9</v>
      </c>
      <c r="AC487" s="4">
        <v>8</v>
      </c>
      <c r="AD487" s="4">
        <v>9</v>
      </c>
      <c r="AU487" s="4">
        <v>6</v>
      </c>
      <c r="AV487" s="4">
        <v>7</v>
      </c>
      <c r="AY487" s="3" t="s">
        <v>17</v>
      </c>
      <c r="BB487" s="3" t="s">
        <v>18</v>
      </c>
      <c r="BC487" s="3" t="s">
        <v>22</v>
      </c>
      <c r="BD487" s="3" t="s">
        <v>615</v>
      </c>
      <c r="BE487" s="3" t="s">
        <v>623</v>
      </c>
      <c r="BF487" s="3" t="s">
        <v>1095</v>
      </c>
      <c r="BG487" s="3" t="s">
        <v>1096</v>
      </c>
    </row>
    <row r="488" spans="1:60" x14ac:dyDescent="0.3">
      <c r="A488" s="3" t="s">
        <v>1141</v>
      </c>
      <c r="B488" s="3" t="s">
        <v>16</v>
      </c>
      <c r="C488" s="3">
        <v>17</v>
      </c>
      <c r="D488" s="3">
        <v>7</v>
      </c>
      <c r="K488" s="4">
        <v>9</v>
      </c>
      <c r="L488" s="4">
        <v>9</v>
      </c>
      <c r="U488" s="4">
        <v>8</v>
      </c>
      <c r="V488" s="4">
        <v>5</v>
      </c>
      <c r="AC488" s="4">
        <v>8</v>
      </c>
      <c r="AD488" s="4">
        <v>5</v>
      </c>
      <c r="AU488" s="4">
        <v>8</v>
      </c>
      <c r="AV488" s="4">
        <v>5</v>
      </c>
      <c r="AY488" s="3" t="s">
        <v>17</v>
      </c>
      <c r="BB488" s="3" t="s">
        <v>17</v>
      </c>
      <c r="BC488" s="3" t="s">
        <v>22</v>
      </c>
      <c r="BD488" s="3" t="s">
        <v>615</v>
      </c>
      <c r="BE488" s="3" t="s">
        <v>616</v>
      </c>
      <c r="BF488" s="3" t="s">
        <v>1097</v>
      </c>
      <c r="BG488" s="3" t="s">
        <v>1098</v>
      </c>
      <c r="BH488" s="3" t="s">
        <v>1099</v>
      </c>
    </row>
    <row r="489" spans="1:60" x14ac:dyDescent="0.3">
      <c r="A489" s="3" t="s">
        <v>1141</v>
      </c>
      <c r="B489" s="3" t="s">
        <v>26</v>
      </c>
      <c r="C489" s="3">
        <v>15</v>
      </c>
      <c r="D489" s="3">
        <v>8</v>
      </c>
      <c r="K489" s="4">
        <v>8</v>
      </c>
      <c r="L489" s="4">
        <v>8</v>
      </c>
      <c r="AC489" s="4">
        <v>7</v>
      </c>
      <c r="AD489" s="4">
        <v>7</v>
      </c>
      <c r="AM489" s="4">
        <v>7</v>
      </c>
      <c r="AN489" s="4">
        <v>6</v>
      </c>
      <c r="AS489" s="4">
        <v>5</v>
      </c>
      <c r="AT489" s="4">
        <v>5</v>
      </c>
      <c r="AY489" s="3" t="s">
        <v>18</v>
      </c>
      <c r="AZ489" s="3" t="s">
        <v>22</v>
      </c>
      <c r="BD489" s="3" t="s">
        <v>618</v>
      </c>
      <c r="BE489" s="3" t="s">
        <v>623</v>
      </c>
      <c r="BF489" s="3" t="s">
        <v>48</v>
      </c>
      <c r="BG489" s="3" t="s">
        <v>28</v>
      </c>
    </row>
    <row r="490" spans="1:60" x14ac:dyDescent="0.3">
      <c r="A490" s="3" t="s">
        <v>1141</v>
      </c>
      <c r="B490" s="3" t="s">
        <v>26</v>
      </c>
      <c r="C490" s="3">
        <v>15</v>
      </c>
      <c r="D490" s="3">
        <v>9</v>
      </c>
      <c r="K490" s="4">
        <v>9</v>
      </c>
      <c r="L490" s="4">
        <v>9</v>
      </c>
      <c r="AC490" s="4">
        <v>9</v>
      </c>
      <c r="AD490" s="4">
        <v>10</v>
      </c>
      <c r="AM490" s="4">
        <v>8</v>
      </c>
      <c r="AN490" s="4">
        <v>8</v>
      </c>
      <c r="AS490" s="4">
        <v>8</v>
      </c>
      <c r="AT490" s="4">
        <v>8</v>
      </c>
      <c r="AY490" s="3" t="s">
        <v>18</v>
      </c>
      <c r="AZ490" s="3" t="s">
        <v>22</v>
      </c>
      <c r="BD490" s="3" t="s">
        <v>618</v>
      </c>
      <c r="BE490" s="3" t="s">
        <v>623</v>
      </c>
      <c r="BF490" s="3" t="s">
        <v>1100</v>
      </c>
      <c r="BG490" s="3" t="s">
        <v>1101</v>
      </c>
    </row>
    <row r="491" spans="1:60" x14ac:dyDescent="0.3">
      <c r="A491" s="3" t="s">
        <v>1141</v>
      </c>
      <c r="B491" s="3" t="s">
        <v>26</v>
      </c>
      <c r="C491" s="3">
        <v>15</v>
      </c>
      <c r="D491" s="3">
        <v>6</v>
      </c>
      <c r="K491" s="4">
        <v>10</v>
      </c>
      <c r="L491" s="4">
        <v>10</v>
      </c>
      <c r="AC491" s="4">
        <v>8</v>
      </c>
      <c r="AD491" s="4">
        <v>10</v>
      </c>
      <c r="AM491" s="4">
        <v>9</v>
      </c>
      <c r="AN491" s="4">
        <v>9</v>
      </c>
      <c r="AS491" s="4">
        <v>9</v>
      </c>
      <c r="AT491" s="4">
        <v>9</v>
      </c>
      <c r="AY491" s="3" t="s">
        <v>17</v>
      </c>
      <c r="BB491" s="3" t="s">
        <v>18</v>
      </c>
      <c r="BC491" s="3" t="s">
        <v>22</v>
      </c>
      <c r="BD491" s="3" t="s">
        <v>618</v>
      </c>
      <c r="BE491" s="3" t="s">
        <v>619</v>
      </c>
      <c r="BF491" s="3" t="s">
        <v>1102</v>
      </c>
      <c r="BG491" s="3" t="s">
        <v>1103</v>
      </c>
      <c r="BH491" s="3" t="s">
        <v>1104</v>
      </c>
    </row>
    <row r="492" spans="1:60" x14ac:dyDescent="0.3">
      <c r="A492" s="3" t="s">
        <v>1141</v>
      </c>
      <c r="B492" s="3" t="s">
        <v>16</v>
      </c>
      <c r="C492" s="3">
        <v>15</v>
      </c>
      <c r="D492" s="3">
        <v>7</v>
      </c>
      <c r="K492" s="4">
        <v>9</v>
      </c>
      <c r="L492" s="4">
        <v>9</v>
      </c>
      <c r="AC492" s="4">
        <v>9</v>
      </c>
      <c r="AD492" s="4">
        <v>9</v>
      </c>
      <c r="AM492" s="4">
        <v>9</v>
      </c>
      <c r="AN492" s="4">
        <v>9</v>
      </c>
      <c r="AS492" s="4">
        <v>9</v>
      </c>
      <c r="AT492" s="4">
        <v>9</v>
      </c>
      <c r="AY492" s="3" t="s">
        <v>17</v>
      </c>
      <c r="BB492" s="3" t="s">
        <v>17</v>
      </c>
      <c r="BC492" s="3" t="s">
        <v>22</v>
      </c>
      <c r="BD492" s="3" t="s">
        <v>615</v>
      </c>
      <c r="BE492" s="3" t="s">
        <v>619</v>
      </c>
      <c r="BF492" s="3" t="s">
        <v>1105</v>
      </c>
      <c r="BG492" s="3" t="s">
        <v>1106</v>
      </c>
      <c r="BH492" s="3" t="s">
        <v>1107</v>
      </c>
    </row>
    <row r="493" spans="1:60" x14ac:dyDescent="0.3">
      <c r="A493" s="3" t="s">
        <v>1141</v>
      </c>
      <c r="B493" s="3" t="s">
        <v>26</v>
      </c>
      <c r="C493" s="3">
        <v>15</v>
      </c>
      <c r="D493" s="3">
        <v>8</v>
      </c>
      <c r="K493" s="4">
        <v>8</v>
      </c>
      <c r="L493" s="4">
        <v>8</v>
      </c>
      <c r="AC493" s="4">
        <v>8</v>
      </c>
      <c r="AD493" s="4">
        <v>9</v>
      </c>
      <c r="AM493" s="4">
        <v>8</v>
      </c>
      <c r="AN493" s="4">
        <v>7</v>
      </c>
      <c r="AS493" s="4">
        <v>8</v>
      </c>
      <c r="AT493" s="4">
        <v>8</v>
      </c>
      <c r="AY493" s="3" t="s">
        <v>18</v>
      </c>
      <c r="AZ493" s="3" t="s">
        <v>17</v>
      </c>
      <c r="BD493" s="3" t="s">
        <v>618</v>
      </c>
      <c r="BE493" s="3" t="s">
        <v>619</v>
      </c>
      <c r="BF493" s="3" t="s">
        <v>1108</v>
      </c>
      <c r="BG493" s="3" t="s">
        <v>1109</v>
      </c>
      <c r="BH493" s="3" t="s">
        <v>1110</v>
      </c>
    </row>
    <row r="494" spans="1:60" x14ac:dyDescent="0.3">
      <c r="A494" s="3" t="s">
        <v>1141</v>
      </c>
      <c r="B494" s="3" t="s">
        <v>26</v>
      </c>
      <c r="C494" s="3">
        <v>16</v>
      </c>
      <c r="D494" s="3">
        <v>10</v>
      </c>
      <c r="K494" s="4">
        <v>6</v>
      </c>
      <c r="L494" s="4">
        <v>7</v>
      </c>
      <c r="AC494" s="4">
        <v>5</v>
      </c>
      <c r="AD494" s="4">
        <v>5</v>
      </c>
      <c r="AM494" s="4">
        <v>10</v>
      </c>
      <c r="AN494" s="4">
        <v>8</v>
      </c>
      <c r="AS494" s="4">
        <v>7</v>
      </c>
      <c r="AT494" s="4">
        <v>9</v>
      </c>
      <c r="AY494" s="3" t="s">
        <v>18</v>
      </c>
      <c r="AZ494" s="3" t="s">
        <v>22</v>
      </c>
      <c r="BD494" s="3" t="s">
        <v>618</v>
      </c>
      <c r="BE494" s="3" t="s">
        <v>623</v>
      </c>
      <c r="BF494" s="3" t="s">
        <v>1111</v>
      </c>
      <c r="BG494" s="3" t="s">
        <v>1112</v>
      </c>
    </row>
    <row r="495" spans="1:60" x14ac:dyDescent="0.3">
      <c r="A495" s="3" t="s">
        <v>1141</v>
      </c>
      <c r="B495" s="3" t="s">
        <v>16</v>
      </c>
      <c r="C495" s="3">
        <v>15</v>
      </c>
      <c r="D495" s="3">
        <v>9</v>
      </c>
      <c r="K495" s="4">
        <v>4</v>
      </c>
      <c r="L495" s="4">
        <v>6</v>
      </c>
      <c r="AC495" s="4">
        <v>7</v>
      </c>
      <c r="AD495" s="4">
        <v>6</v>
      </c>
      <c r="AM495" s="4">
        <v>10</v>
      </c>
      <c r="AN495" s="4">
        <v>8</v>
      </c>
      <c r="AS495" s="4">
        <v>6</v>
      </c>
      <c r="AT495" s="4">
        <v>9</v>
      </c>
      <c r="AY495" s="3" t="s">
        <v>22</v>
      </c>
      <c r="AZ495" s="3" t="s">
        <v>18</v>
      </c>
      <c r="BA495" s="3" t="s">
        <v>1113</v>
      </c>
      <c r="BD495" s="3" t="s">
        <v>656</v>
      </c>
      <c r="BE495" s="3" t="s">
        <v>623</v>
      </c>
      <c r="BF495" s="3" t="s">
        <v>1114</v>
      </c>
      <c r="BG495" s="3" t="s">
        <v>1115</v>
      </c>
      <c r="BH495" s="3" t="s">
        <v>1116</v>
      </c>
    </row>
    <row r="496" spans="1:60" x14ac:dyDescent="0.3">
      <c r="A496" s="3" t="s">
        <v>1141</v>
      </c>
      <c r="B496" s="3" t="s">
        <v>16</v>
      </c>
      <c r="C496" s="3">
        <v>15</v>
      </c>
      <c r="D496" s="3">
        <v>8</v>
      </c>
      <c r="K496" s="4">
        <v>8</v>
      </c>
      <c r="L496" s="4">
        <v>5</v>
      </c>
      <c r="AC496" s="4">
        <v>7</v>
      </c>
      <c r="AD496" s="4">
        <v>7</v>
      </c>
      <c r="AM496" s="4">
        <v>5</v>
      </c>
      <c r="AN496" s="4">
        <v>6</v>
      </c>
      <c r="AS496" s="4">
        <v>9</v>
      </c>
      <c r="AT496" s="4">
        <v>9</v>
      </c>
      <c r="AY496" s="3" t="s">
        <v>17</v>
      </c>
      <c r="BB496" s="3" t="s">
        <v>17</v>
      </c>
      <c r="BC496" s="3" t="s">
        <v>22</v>
      </c>
      <c r="BD496" s="3" t="s">
        <v>615</v>
      </c>
      <c r="BE496" s="3" t="s">
        <v>619</v>
      </c>
      <c r="BF496" s="3" t="s">
        <v>1117</v>
      </c>
      <c r="BG496" s="3" t="s">
        <v>1118</v>
      </c>
      <c r="BH496" s="3" t="s">
        <v>1119</v>
      </c>
    </row>
    <row r="497" spans="1:60" x14ac:dyDescent="0.3">
      <c r="A497" s="3" t="s">
        <v>1141</v>
      </c>
      <c r="B497" s="3" t="s">
        <v>16</v>
      </c>
      <c r="C497" s="3">
        <v>16</v>
      </c>
      <c r="D497" s="3">
        <v>7</v>
      </c>
      <c r="K497" s="4">
        <v>6</v>
      </c>
      <c r="L497" s="4">
        <v>6</v>
      </c>
      <c r="AC497" s="4">
        <v>6</v>
      </c>
      <c r="AD497" s="4">
        <v>7</v>
      </c>
      <c r="AM497" s="4">
        <v>7</v>
      </c>
      <c r="AN497" s="4">
        <v>8</v>
      </c>
      <c r="AS497" s="4">
        <v>6</v>
      </c>
      <c r="AT497" s="4">
        <v>8</v>
      </c>
      <c r="AY497" s="3" t="s">
        <v>17</v>
      </c>
      <c r="BB497" s="3" t="s">
        <v>17</v>
      </c>
      <c r="BC497" s="3" t="s">
        <v>18</v>
      </c>
      <c r="BD497" s="3" t="s">
        <v>615</v>
      </c>
      <c r="BE497" s="3" t="s">
        <v>619</v>
      </c>
      <c r="BF497" s="3" t="s">
        <v>1120</v>
      </c>
      <c r="BG497" s="3" t="s">
        <v>1121</v>
      </c>
      <c r="BH497" s="3" t="s">
        <v>1122</v>
      </c>
    </row>
    <row r="498" spans="1:60" x14ac:dyDescent="0.3">
      <c r="A498" s="3" t="s">
        <v>1141</v>
      </c>
      <c r="B498" s="3" t="s">
        <v>26</v>
      </c>
      <c r="C498" s="3">
        <v>16</v>
      </c>
      <c r="D498" s="3">
        <v>8</v>
      </c>
      <c r="K498" s="4">
        <v>4</v>
      </c>
      <c r="L498" s="4">
        <v>5</v>
      </c>
      <c r="AC498" s="4">
        <v>7</v>
      </c>
      <c r="AD498" s="4">
        <v>8</v>
      </c>
      <c r="AM498" s="4">
        <v>9</v>
      </c>
      <c r="AN498" s="4">
        <v>10</v>
      </c>
      <c r="AS498" s="4">
        <v>8</v>
      </c>
      <c r="AT498" s="4">
        <v>9</v>
      </c>
      <c r="AY498" s="3" t="s">
        <v>22</v>
      </c>
      <c r="AZ498" s="3" t="s">
        <v>18</v>
      </c>
      <c r="BA498" s="3" t="s">
        <v>1123</v>
      </c>
      <c r="BD498" s="3" t="s">
        <v>656</v>
      </c>
      <c r="BE498" s="3" t="s">
        <v>619</v>
      </c>
      <c r="BF498" s="3" t="s">
        <v>1124</v>
      </c>
      <c r="BG498" s="3" t="s">
        <v>1125</v>
      </c>
      <c r="BH498" s="3" t="s">
        <v>1126</v>
      </c>
    </row>
    <row r="499" spans="1:60" x14ac:dyDescent="0.3">
      <c r="A499" s="3" t="s">
        <v>1141</v>
      </c>
      <c r="B499" s="3" t="s">
        <v>26</v>
      </c>
      <c r="C499" s="3">
        <v>16</v>
      </c>
      <c r="D499" s="3">
        <v>8</v>
      </c>
      <c r="K499" s="4">
        <v>10</v>
      </c>
      <c r="L499" s="4">
        <v>9</v>
      </c>
      <c r="AC499" s="4">
        <v>9</v>
      </c>
      <c r="AD499" s="4">
        <v>10</v>
      </c>
      <c r="AM499" s="4">
        <v>10</v>
      </c>
      <c r="AN499" s="4">
        <v>10</v>
      </c>
      <c r="AS499" s="4">
        <v>8</v>
      </c>
      <c r="AT499" s="4">
        <v>9</v>
      </c>
      <c r="AY499" s="3" t="s">
        <v>22</v>
      </c>
      <c r="AZ499" s="3" t="s">
        <v>18</v>
      </c>
      <c r="BA499" s="3" t="s">
        <v>1127</v>
      </c>
      <c r="BD499" s="3" t="s">
        <v>618</v>
      </c>
      <c r="BE499" s="3" t="s">
        <v>619</v>
      </c>
      <c r="BF499" s="3" t="s">
        <v>1128</v>
      </c>
      <c r="BG499" s="3" t="s">
        <v>1129</v>
      </c>
      <c r="BH499" s="3" t="s">
        <v>1130</v>
      </c>
    </row>
    <row r="500" spans="1:60" x14ac:dyDescent="0.3">
      <c r="A500" s="3" t="s">
        <v>1141</v>
      </c>
      <c r="B500" s="3" t="s">
        <v>26</v>
      </c>
      <c r="C500" s="3">
        <v>16</v>
      </c>
      <c r="D500" s="3">
        <v>5</v>
      </c>
      <c r="K500" s="4">
        <v>5</v>
      </c>
      <c r="L500" s="4">
        <v>5</v>
      </c>
      <c r="AC500" s="4">
        <v>5</v>
      </c>
      <c r="AD500" s="4">
        <v>5</v>
      </c>
      <c r="AM500" s="4">
        <v>5</v>
      </c>
      <c r="AN500" s="4">
        <v>5</v>
      </c>
      <c r="AS500" s="4">
        <v>5</v>
      </c>
      <c r="AT500" s="4">
        <v>5</v>
      </c>
      <c r="AY500" s="3" t="s">
        <v>18</v>
      </c>
      <c r="AZ500" s="3" t="s">
        <v>18</v>
      </c>
      <c r="BA500" s="3" t="s">
        <v>1131</v>
      </c>
      <c r="BD500" s="3" t="s">
        <v>615</v>
      </c>
      <c r="BE500" s="3" t="s">
        <v>619</v>
      </c>
      <c r="BF500" s="3" t="s">
        <v>1132</v>
      </c>
      <c r="BG500" s="3" t="s">
        <v>1133</v>
      </c>
      <c r="BH500" s="3" t="s">
        <v>1134</v>
      </c>
    </row>
    <row r="501" spans="1:60" x14ac:dyDescent="0.3">
      <c r="A501" s="3" t="s">
        <v>1145</v>
      </c>
      <c r="B501" s="3" t="s">
        <v>26</v>
      </c>
      <c r="C501" s="3">
        <v>17</v>
      </c>
      <c r="D501" s="3">
        <v>5</v>
      </c>
      <c r="E501" s="4">
        <v>10</v>
      </c>
      <c r="F501" s="4">
        <v>10</v>
      </c>
      <c r="I501" s="4">
        <v>10</v>
      </c>
      <c r="J501" s="4">
        <v>10</v>
      </c>
      <c r="K501" s="4">
        <v>10</v>
      </c>
      <c r="L501" s="4">
        <v>10</v>
      </c>
      <c r="AW501" s="4">
        <v>10</v>
      </c>
      <c r="AX501" s="4">
        <v>10</v>
      </c>
      <c r="AY501" s="3" t="s">
        <v>18</v>
      </c>
      <c r="AZ501" s="3" t="s">
        <v>18</v>
      </c>
      <c r="BA501" s="3" t="s">
        <v>1146</v>
      </c>
      <c r="BD501" s="3" t="s">
        <v>618</v>
      </c>
      <c r="BE501" s="3" t="s">
        <v>623</v>
      </c>
      <c r="BF501" s="3" t="s">
        <v>1147</v>
      </c>
      <c r="BG501" s="3" t="s">
        <v>1148</v>
      </c>
      <c r="BH501" s="3" t="s">
        <v>1149</v>
      </c>
    </row>
    <row r="502" spans="1:60" x14ac:dyDescent="0.3">
      <c r="A502" s="3" t="s">
        <v>1145</v>
      </c>
      <c r="B502" s="3" t="s">
        <v>26</v>
      </c>
      <c r="C502" s="3">
        <v>16</v>
      </c>
      <c r="D502" s="3">
        <v>5</v>
      </c>
      <c r="E502" s="4">
        <v>9</v>
      </c>
      <c r="F502" s="4">
        <v>9</v>
      </c>
      <c r="I502" s="4">
        <v>10</v>
      </c>
      <c r="J502" s="4">
        <v>10</v>
      </c>
      <c r="K502" s="4">
        <v>10</v>
      </c>
      <c r="L502" s="4">
        <v>10</v>
      </c>
      <c r="AW502" s="4">
        <v>9</v>
      </c>
      <c r="AX502" s="4">
        <v>9</v>
      </c>
      <c r="AY502" s="3" t="s">
        <v>18</v>
      </c>
      <c r="AZ502" s="3" t="s">
        <v>18</v>
      </c>
      <c r="BA502" s="3" t="s">
        <v>1150</v>
      </c>
      <c r="BD502" s="3" t="s">
        <v>618</v>
      </c>
      <c r="BE502" s="3" t="s">
        <v>619</v>
      </c>
      <c r="BF502" s="3" t="s">
        <v>1151</v>
      </c>
      <c r="BG502" s="3" t="s">
        <v>887</v>
      </c>
    </row>
    <row r="503" spans="1:60" x14ac:dyDescent="0.3">
      <c r="A503" s="3" t="s">
        <v>1145</v>
      </c>
      <c r="B503" s="3" t="s">
        <v>26</v>
      </c>
      <c r="C503" s="3">
        <v>18</v>
      </c>
      <c r="D503" s="3">
        <v>5</v>
      </c>
      <c r="E503" s="4">
        <v>7</v>
      </c>
      <c r="F503" s="4">
        <v>9</v>
      </c>
      <c r="I503" s="4">
        <v>10</v>
      </c>
      <c r="J503" s="4">
        <v>10</v>
      </c>
      <c r="K503" s="4">
        <v>9</v>
      </c>
      <c r="L503" s="4">
        <v>7</v>
      </c>
      <c r="AW503" s="4">
        <v>8</v>
      </c>
      <c r="AX503" s="4">
        <v>5</v>
      </c>
      <c r="AY503" s="3" t="s">
        <v>18</v>
      </c>
      <c r="AZ503" s="3" t="s">
        <v>18</v>
      </c>
      <c r="BD503" s="3" t="s">
        <v>615</v>
      </c>
      <c r="BE503" s="3" t="s">
        <v>623</v>
      </c>
      <c r="BF503" s="3" t="s">
        <v>1152</v>
      </c>
      <c r="BG503" s="3" t="s">
        <v>1153</v>
      </c>
      <c r="BH503" s="3" t="s">
        <v>1154</v>
      </c>
    </row>
    <row r="504" spans="1:60" x14ac:dyDescent="0.3">
      <c r="A504" s="3" t="s">
        <v>1145</v>
      </c>
      <c r="B504" s="3" t="s">
        <v>26</v>
      </c>
      <c r="C504" s="3">
        <v>16</v>
      </c>
      <c r="D504" s="3">
        <v>5</v>
      </c>
      <c r="E504" s="4">
        <v>10</v>
      </c>
      <c r="F504" s="4">
        <v>10</v>
      </c>
      <c r="I504" s="4">
        <v>10</v>
      </c>
      <c r="J504" s="4">
        <v>10</v>
      </c>
      <c r="K504" s="4">
        <v>10</v>
      </c>
      <c r="L504" s="4">
        <v>10</v>
      </c>
      <c r="AW504" s="4">
        <v>10</v>
      </c>
      <c r="AX504" s="4">
        <v>10</v>
      </c>
      <c r="AY504" s="3" t="s">
        <v>18</v>
      </c>
      <c r="AZ504" s="3" t="s">
        <v>22</v>
      </c>
      <c r="BD504" s="3" t="s">
        <v>656</v>
      </c>
      <c r="BE504" s="3" t="s">
        <v>623</v>
      </c>
      <c r="BF504" s="3" t="s">
        <v>1155</v>
      </c>
      <c r="BG504" s="3" t="s">
        <v>358</v>
      </c>
    </row>
    <row r="505" spans="1:60" x14ac:dyDescent="0.3">
      <c r="A505" s="3" t="s">
        <v>1145</v>
      </c>
      <c r="B505" s="3" t="s">
        <v>26</v>
      </c>
      <c r="C505" s="3">
        <v>16</v>
      </c>
      <c r="D505" s="3">
        <v>5</v>
      </c>
      <c r="E505" s="4">
        <v>10</v>
      </c>
      <c r="F505" s="4">
        <v>10</v>
      </c>
      <c r="I505" s="4">
        <v>10</v>
      </c>
      <c r="J505" s="4">
        <v>10</v>
      </c>
      <c r="K505" s="4">
        <v>10</v>
      </c>
      <c r="L505" s="4">
        <v>10</v>
      </c>
      <c r="AW505" s="4">
        <v>10</v>
      </c>
      <c r="AX505" s="4">
        <v>10</v>
      </c>
      <c r="AY505" s="3" t="s">
        <v>18</v>
      </c>
      <c r="AZ505" s="3" t="s">
        <v>18</v>
      </c>
      <c r="BD505" s="3" t="s">
        <v>618</v>
      </c>
      <c r="BE505" s="3" t="s">
        <v>619</v>
      </c>
      <c r="BF505" s="3" t="s">
        <v>1156</v>
      </c>
      <c r="BG505" s="3" t="s">
        <v>1157</v>
      </c>
      <c r="BH505" s="3" t="s">
        <v>1158</v>
      </c>
    </row>
    <row r="506" spans="1:60" x14ac:dyDescent="0.3">
      <c r="A506" s="3" t="s">
        <v>1145</v>
      </c>
      <c r="B506" s="3" t="s">
        <v>26</v>
      </c>
      <c r="C506" s="3">
        <v>16</v>
      </c>
      <c r="D506" s="3">
        <v>5</v>
      </c>
      <c r="E506" s="4">
        <v>10</v>
      </c>
      <c r="F506" s="4">
        <v>10</v>
      </c>
      <c r="I506" s="4">
        <v>10</v>
      </c>
      <c r="J506" s="4">
        <v>10</v>
      </c>
      <c r="K506" s="4">
        <v>10</v>
      </c>
      <c r="L506" s="4">
        <v>10</v>
      </c>
      <c r="AW506" s="4">
        <v>10</v>
      </c>
      <c r="AX506" s="4">
        <v>10</v>
      </c>
      <c r="AY506" s="3" t="s">
        <v>18</v>
      </c>
      <c r="AZ506" s="3" t="s">
        <v>18</v>
      </c>
      <c r="BD506" s="3" t="s">
        <v>656</v>
      </c>
      <c r="BE506" s="3" t="s">
        <v>623</v>
      </c>
      <c r="BF506" s="3" t="s">
        <v>1159</v>
      </c>
      <c r="BG506" s="3" t="s">
        <v>28</v>
      </c>
    </row>
    <row r="507" spans="1:60" x14ac:dyDescent="0.3">
      <c r="A507" s="3" t="s">
        <v>1145</v>
      </c>
      <c r="B507" s="3" t="s">
        <v>16</v>
      </c>
      <c r="C507" s="3">
        <v>16</v>
      </c>
      <c r="D507" s="3">
        <v>5</v>
      </c>
      <c r="E507" s="4">
        <v>8</v>
      </c>
      <c r="F507" s="4">
        <v>9</v>
      </c>
      <c r="I507" s="4">
        <v>10</v>
      </c>
      <c r="J507" s="4">
        <v>10</v>
      </c>
      <c r="K507" s="4">
        <v>3</v>
      </c>
      <c r="L507" s="4">
        <v>7</v>
      </c>
      <c r="AW507" s="4">
        <v>5</v>
      </c>
      <c r="AX507" s="4">
        <v>4</v>
      </c>
      <c r="AY507" s="3" t="s">
        <v>22</v>
      </c>
      <c r="AZ507" s="3" t="s">
        <v>22</v>
      </c>
      <c r="BD507" s="3" t="s">
        <v>656</v>
      </c>
      <c r="BE507" s="3" t="s">
        <v>623</v>
      </c>
      <c r="BF507" s="3" t="s">
        <v>1160</v>
      </c>
      <c r="BG507" s="3" t="s">
        <v>1161</v>
      </c>
      <c r="BH507" s="3" t="s">
        <v>1162</v>
      </c>
    </row>
    <row r="508" spans="1:60" x14ac:dyDescent="0.3">
      <c r="A508" s="3" t="s">
        <v>1145</v>
      </c>
      <c r="B508" s="3" t="s">
        <v>26</v>
      </c>
      <c r="C508" s="3">
        <v>16</v>
      </c>
      <c r="D508" s="3">
        <v>5</v>
      </c>
      <c r="E508" s="4">
        <v>9</v>
      </c>
      <c r="F508" s="4">
        <v>9</v>
      </c>
      <c r="I508" s="4">
        <v>9</v>
      </c>
      <c r="J508" s="4">
        <v>9</v>
      </c>
      <c r="K508" s="4">
        <v>8</v>
      </c>
      <c r="L508" s="4">
        <v>8</v>
      </c>
      <c r="AW508" s="4">
        <v>8</v>
      </c>
      <c r="AX508" s="4">
        <v>9</v>
      </c>
      <c r="AY508" s="3" t="s">
        <v>22</v>
      </c>
      <c r="AZ508" s="3" t="s">
        <v>18</v>
      </c>
      <c r="BA508" s="3" t="s">
        <v>1163</v>
      </c>
      <c r="BD508" s="3" t="s">
        <v>656</v>
      </c>
      <c r="BE508" s="3" t="s">
        <v>623</v>
      </c>
      <c r="BF508" s="3" t="s">
        <v>1164</v>
      </c>
      <c r="BG508" s="3" t="s">
        <v>1165</v>
      </c>
      <c r="BH508" s="3" t="s">
        <v>1166</v>
      </c>
    </row>
    <row r="509" spans="1:60" x14ac:dyDescent="0.3">
      <c r="A509" s="3" t="s">
        <v>1145</v>
      </c>
      <c r="B509" s="3" t="s">
        <v>26</v>
      </c>
      <c r="C509" s="3">
        <v>16</v>
      </c>
      <c r="D509" s="3">
        <v>4</v>
      </c>
      <c r="E509" s="4">
        <v>7</v>
      </c>
      <c r="F509" s="4">
        <v>8</v>
      </c>
      <c r="I509" s="4">
        <v>10</v>
      </c>
      <c r="J509" s="4">
        <v>10</v>
      </c>
      <c r="K509" s="4">
        <v>8</v>
      </c>
      <c r="L509" s="4">
        <v>10</v>
      </c>
      <c r="AW509" s="4">
        <v>5</v>
      </c>
      <c r="AX509" s="4">
        <v>5</v>
      </c>
      <c r="AY509" s="3" t="s">
        <v>22</v>
      </c>
      <c r="AZ509" s="3" t="s">
        <v>17</v>
      </c>
      <c r="BA509" s="3" t="s">
        <v>1167</v>
      </c>
      <c r="BD509" s="3" t="s">
        <v>656</v>
      </c>
      <c r="BE509" s="3" t="s">
        <v>619</v>
      </c>
      <c r="BF509" s="3" t="s">
        <v>1168</v>
      </c>
      <c r="BG509" s="3" t="s">
        <v>1169</v>
      </c>
    </row>
    <row r="510" spans="1:60" x14ac:dyDescent="0.3">
      <c r="A510" s="3" t="s">
        <v>1145</v>
      </c>
      <c r="B510" s="3" t="s">
        <v>26</v>
      </c>
      <c r="C510" s="3">
        <v>16</v>
      </c>
      <c r="D510" s="3">
        <v>5</v>
      </c>
      <c r="E510" s="4">
        <v>7</v>
      </c>
      <c r="F510" s="4">
        <v>9</v>
      </c>
      <c r="I510" s="4">
        <v>9</v>
      </c>
      <c r="J510" s="4">
        <v>10</v>
      </c>
      <c r="K510" s="4">
        <v>10</v>
      </c>
      <c r="L510" s="4">
        <v>10</v>
      </c>
      <c r="AW510" s="4">
        <v>8</v>
      </c>
      <c r="AX510" s="4">
        <v>8</v>
      </c>
      <c r="AY510" s="3" t="s">
        <v>18</v>
      </c>
      <c r="AZ510" s="3" t="s">
        <v>18</v>
      </c>
      <c r="BD510" s="3" t="s">
        <v>618</v>
      </c>
      <c r="BE510" s="3" t="s">
        <v>623</v>
      </c>
      <c r="BF510" s="3" t="s">
        <v>1170</v>
      </c>
      <c r="BG510" s="3" t="s">
        <v>451</v>
      </c>
    </row>
    <row r="511" spans="1:60" x14ac:dyDescent="0.3">
      <c r="A511" s="3" t="s">
        <v>1145</v>
      </c>
      <c r="B511" s="3" t="s">
        <v>26</v>
      </c>
      <c r="C511" s="3">
        <v>17</v>
      </c>
      <c r="D511" s="3">
        <v>5</v>
      </c>
      <c r="E511" s="4">
        <v>8</v>
      </c>
      <c r="F511" s="4">
        <v>9</v>
      </c>
      <c r="I511" s="4">
        <v>6</v>
      </c>
      <c r="J511" s="4">
        <v>9</v>
      </c>
      <c r="K511" s="4">
        <v>6</v>
      </c>
      <c r="L511" s="4">
        <v>8</v>
      </c>
      <c r="AW511" s="4">
        <v>9</v>
      </c>
      <c r="AX511" s="4">
        <v>10</v>
      </c>
      <c r="AY511" s="3" t="s">
        <v>22</v>
      </c>
      <c r="AZ511" s="3" t="s">
        <v>22</v>
      </c>
      <c r="BD511" s="3" t="s">
        <v>656</v>
      </c>
      <c r="BE511" s="3" t="s">
        <v>619</v>
      </c>
      <c r="BF511" s="3" t="s">
        <v>1171</v>
      </c>
      <c r="BG511" s="3" t="s">
        <v>1172</v>
      </c>
    </row>
    <row r="512" spans="1:60" x14ac:dyDescent="0.3">
      <c r="A512" s="3" t="s">
        <v>1145</v>
      </c>
      <c r="B512" s="3" t="s">
        <v>26</v>
      </c>
      <c r="C512" s="3">
        <v>16</v>
      </c>
      <c r="D512" s="3">
        <v>5</v>
      </c>
      <c r="E512" s="4">
        <v>7</v>
      </c>
      <c r="F512" s="4">
        <v>10</v>
      </c>
      <c r="I512" s="4">
        <v>10</v>
      </c>
      <c r="J512" s="4">
        <v>7</v>
      </c>
      <c r="K512" s="4">
        <v>5</v>
      </c>
      <c r="L512" s="4">
        <v>7</v>
      </c>
      <c r="AW512" s="4">
        <v>9</v>
      </c>
      <c r="AX512" s="4">
        <v>9</v>
      </c>
      <c r="AY512" s="3" t="s">
        <v>18</v>
      </c>
      <c r="AZ512" s="3" t="s">
        <v>18</v>
      </c>
      <c r="BD512" s="3" t="s">
        <v>618</v>
      </c>
      <c r="BE512" s="3" t="s">
        <v>619</v>
      </c>
      <c r="BF512" s="3" t="s">
        <v>1173</v>
      </c>
      <c r="BG512" s="3" t="s">
        <v>1174</v>
      </c>
    </row>
    <row r="513" spans="1:60" x14ac:dyDescent="0.3">
      <c r="A513" s="3" t="s">
        <v>1145</v>
      </c>
      <c r="B513" s="3" t="s">
        <v>16</v>
      </c>
      <c r="C513" s="3">
        <v>14</v>
      </c>
      <c r="D513" s="3">
        <v>5</v>
      </c>
      <c r="E513" s="4">
        <v>10</v>
      </c>
      <c r="F513" s="4">
        <v>9</v>
      </c>
      <c r="AE513" s="4">
        <v>10</v>
      </c>
      <c r="AF513" s="4">
        <v>10</v>
      </c>
      <c r="AI513" s="4">
        <v>8</v>
      </c>
      <c r="AJ513" s="4">
        <v>7</v>
      </c>
      <c r="AK513" s="4">
        <v>8</v>
      </c>
      <c r="AL513" s="4">
        <v>8</v>
      </c>
      <c r="AW513" s="4">
        <v>8</v>
      </c>
      <c r="AX513" s="4">
        <v>7</v>
      </c>
      <c r="AY513" s="3" t="s">
        <v>17</v>
      </c>
      <c r="BB513" s="3" t="s">
        <v>18</v>
      </c>
      <c r="BC513" s="3" t="s">
        <v>22</v>
      </c>
      <c r="BD513" s="3" t="s">
        <v>615</v>
      </c>
      <c r="BE513" s="3" t="s">
        <v>619</v>
      </c>
      <c r="BF513" s="3" t="s">
        <v>1175</v>
      </c>
      <c r="BG513" s="3" t="s">
        <v>1176</v>
      </c>
      <c r="BH513" s="3" t="s">
        <v>1177</v>
      </c>
    </row>
    <row r="514" spans="1:60" x14ac:dyDescent="0.3">
      <c r="A514" s="3" t="s">
        <v>1145</v>
      </c>
      <c r="B514" s="3" t="s">
        <v>16</v>
      </c>
      <c r="C514" s="3">
        <v>14</v>
      </c>
      <c r="D514" s="3">
        <v>5</v>
      </c>
      <c r="E514" s="4">
        <v>7</v>
      </c>
      <c r="F514" s="4">
        <v>9</v>
      </c>
      <c r="AE514" s="4">
        <v>5</v>
      </c>
      <c r="AF514" s="4">
        <v>5</v>
      </c>
      <c r="AI514" s="4">
        <v>5</v>
      </c>
      <c r="AJ514" s="4">
        <v>5</v>
      </c>
      <c r="AK514" s="4">
        <v>10</v>
      </c>
      <c r="AL514" s="4">
        <v>10</v>
      </c>
      <c r="AW514" s="4">
        <v>9</v>
      </c>
      <c r="AX514" s="4">
        <v>7</v>
      </c>
      <c r="AY514" s="3" t="s">
        <v>17</v>
      </c>
      <c r="BB514" s="3" t="s">
        <v>17</v>
      </c>
      <c r="BC514" s="3" t="s">
        <v>22</v>
      </c>
      <c r="BD514" s="3" t="s">
        <v>615</v>
      </c>
      <c r="BE514" s="3" t="s">
        <v>619</v>
      </c>
      <c r="BF514" s="3" t="s">
        <v>1178</v>
      </c>
      <c r="BG514" s="3" t="s">
        <v>1179</v>
      </c>
    </row>
    <row r="515" spans="1:60" x14ac:dyDescent="0.3">
      <c r="A515" s="3" t="s">
        <v>1145</v>
      </c>
      <c r="B515" s="3" t="s">
        <v>16</v>
      </c>
      <c r="C515" s="3">
        <v>15</v>
      </c>
      <c r="D515" s="3">
        <v>5</v>
      </c>
      <c r="E515" s="4">
        <v>8</v>
      </c>
      <c r="F515" s="4">
        <v>10</v>
      </c>
      <c r="AE515" s="4">
        <v>10</v>
      </c>
      <c r="AF515" s="4">
        <v>10</v>
      </c>
      <c r="AI515" s="4">
        <v>9</v>
      </c>
      <c r="AJ515" s="4">
        <v>8</v>
      </c>
      <c r="AK515" s="4">
        <v>10</v>
      </c>
      <c r="AL515" s="4">
        <v>10</v>
      </c>
      <c r="AW515" s="4">
        <v>10</v>
      </c>
      <c r="AX515" s="4">
        <v>8</v>
      </c>
      <c r="AY515" s="3" t="s">
        <v>17</v>
      </c>
      <c r="BB515" s="3" t="s">
        <v>17</v>
      </c>
      <c r="BC515" s="3" t="s">
        <v>22</v>
      </c>
      <c r="BD515" s="3" t="s">
        <v>615</v>
      </c>
      <c r="BE515" s="3" t="s">
        <v>619</v>
      </c>
      <c r="BF515" s="3" t="s">
        <v>1180</v>
      </c>
      <c r="BG515" s="3" t="s">
        <v>1181</v>
      </c>
    </row>
    <row r="516" spans="1:60" x14ac:dyDescent="0.3">
      <c r="A516" s="3" t="s">
        <v>1145</v>
      </c>
      <c r="B516" s="3" t="s">
        <v>26</v>
      </c>
      <c r="C516" s="3">
        <v>15</v>
      </c>
      <c r="D516" s="3">
        <v>4</v>
      </c>
      <c r="E516" s="4">
        <v>10</v>
      </c>
      <c r="F516" s="4">
        <v>10</v>
      </c>
      <c r="AE516" s="4">
        <v>7</v>
      </c>
      <c r="AF516" s="4">
        <v>5</v>
      </c>
      <c r="AI516" s="4">
        <v>1</v>
      </c>
      <c r="AJ516" s="4">
        <v>1</v>
      </c>
      <c r="AK516" s="4">
        <v>1</v>
      </c>
      <c r="AL516" s="4">
        <v>1</v>
      </c>
      <c r="AW516" s="4">
        <v>2</v>
      </c>
      <c r="AX516" s="4">
        <v>2</v>
      </c>
      <c r="AY516" s="3" t="s">
        <v>22</v>
      </c>
      <c r="AZ516" s="3" t="s">
        <v>18</v>
      </c>
      <c r="BA516" s="3" t="s">
        <v>1182</v>
      </c>
      <c r="BD516" s="3" t="s">
        <v>656</v>
      </c>
      <c r="BE516" s="3" t="s">
        <v>619</v>
      </c>
      <c r="BF516" s="3" t="s">
        <v>887</v>
      </c>
      <c r="BG516" s="3" t="s">
        <v>1183</v>
      </c>
      <c r="BH516" s="3" t="s">
        <v>1184</v>
      </c>
    </row>
    <row r="517" spans="1:60" x14ac:dyDescent="0.3">
      <c r="A517" s="3" t="s">
        <v>1145</v>
      </c>
      <c r="B517" s="3" t="s">
        <v>16</v>
      </c>
      <c r="C517" s="3">
        <v>14</v>
      </c>
      <c r="D517" s="3">
        <v>4</v>
      </c>
      <c r="E517" s="4">
        <v>9</v>
      </c>
      <c r="F517" s="4">
        <v>9</v>
      </c>
      <c r="AE517" s="4">
        <v>9</v>
      </c>
      <c r="AF517" s="4">
        <v>9</v>
      </c>
      <c r="AI517" s="4">
        <v>8</v>
      </c>
      <c r="AJ517" s="4">
        <v>8</v>
      </c>
      <c r="AK517" s="4">
        <v>9</v>
      </c>
      <c r="AL517" s="4">
        <v>9</v>
      </c>
      <c r="AW517" s="4">
        <v>8</v>
      </c>
      <c r="AX517" s="4">
        <v>8</v>
      </c>
      <c r="AY517" s="3" t="s">
        <v>17</v>
      </c>
      <c r="BB517" s="3" t="s">
        <v>17</v>
      </c>
      <c r="BC517" s="3" t="s">
        <v>22</v>
      </c>
      <c r="BD517" s="3" t="s">
        <v>615</v>
      </c>
      <c r="BE517" s="3" t="s">
        <v>619</v>
      </c>
      <c r="BF517" s="3" t="s">
        <v>1185</v>
      </c>
      <c r="BG517" s="3" t="s">
        <v>1186</v>
      </c>
      <c r="BH517" s="3" t="s">
        <v>1187</v>
      </c>
    </row>
    <row r="518" spans="1:60" x14ac:dyDescent="0.3">
      <c r="A518" s="3" t="s">
        <v>1145</v>
      </c>
      <c r="B518" s="3" t="s">
        <v>16</v>
      </c>
      <c r="C518" s="3">
        <v>14</v>
      </c>
      <c r="D518" s="3">
        <v>4</v>
      </c>
      <c r="E518" s="4">
        <v>6</v>
      </c>
      <c r="F518" s="4">
        <v>7</v>
      </c>
      <c r="AE518" s="4">
        <v>8</v>
      </c>
      <c r="AF518" s="4">
        <v>9</v>
      </c>
      <c r="AI518" s="4">
        <v>8</v>
      </c>
      <c r="AJ518" s="4">
        <v>8</v>
      </c>
      <c r="AK518" s="4">
        <v>8</v>
      </c>
      <c r="AL518" s="4">
        <v>9</v>
      </c>
      <c r="AW518" s="4">
        <v>4</v>
      </c>
      <c r="AX518" s="4">
        <v>5</v>
      </c>
      <c r="AY518" s="3" t="s">
        <v>17</v>
      </c>
      <c r="BB518" s="3" t="s">
        <v>18</v>
      </c>
      <c r="BC518" s="3" t="s">
        <v>18</v>
      </c>
      <c r="BD518" s="3" t="s">
        <v>615</v>
      </c>
      <c r="BE518" s="3" t="s">
        <v>619</v>
      </c>
      <c r="BF518" s="3" t="s">
        <v>1188</v>
      </c>
      <c r="BG518" s="3" t="s">
        <v>1189</v>
      </c>
      <c r="BH518" s="3" t="s">
        <v>209</v>
      </c>
    </row>
    <row r="519" spans="1:60" x14ac:dyDescent="0.3">
      <c r="A519" s="3" t="s">
        <v>1145</v>
      </c>
      <c r="B519" s="3" t="s">
        <v>26</v>
      </c>
      <c r="C519" s="3">
        <v>15</v>
      </c>
      <c r="D519" s="3">
        <v>4</v>
      </c>
      <c r="E519" s="4">
        <v>10</v>
      </c>
      <c r="F519" s="4">
        <v>10</v>
      </c>
      <c r="AE519" s="4">
        <v>5</v>
      </c>
      <c r="AF519" s="4">
        <v>10</v>
      </c>
      <c r="AI519" s="4">
        <v>8</v>
      </c>
      <c r="AJ519" s="4">
        <v>8</v>
      </c>
      <c r="AK519" s="4">
        <v>7</v>
      </c>
      <c r="AL519" s="4">
        <v>7</v>
      </c>
      <c r="AW519" s="4">
        <v>9</v>
      </c>
      <c r="AX519" s="4">
        <v>6</v>
      </c>
      <c r="AY519" s="3" t="s">
        <v>18</v>
      </c>
      <c r="AZ519" s="3" t="s">
        <v>17</v>
      </c>
      <c r="BD519" s="3" t="s">
        <v>618</v>
      </c>
      <c r="BE519" s="3" t="s">
        <v>619</v>
      </c>
      <c r="BF519" s="3" t="s">
        <v>1190</v>
      </c>
      <c r="BG519" s="3" t="s">
        <v>1191</v>
      </c>
    </row>
    <row r="520" spans="1:60" x14ac:dyDescent="0.3">
      <c r="A520" s="3" t="s">
        <v>1145</v>
      </c>
      <c r="B520" s="3" t="s">
        <v>16</v>
      </c>
      <c r="C520" s="3">
        <v>15</v>
      </c>
      <c r="D520" s="3">
        <v>5</v>
      </c>
      <c r="E520" s="4">
        <v>10</v>
      </c>
      <c r="F520" s="4">
        <v>9</v>
      </c>
      <c r="AE520" s="4">
        <v>8</v>
      </c>
      <c r="AF520" s="4">
        <v>8</v>
      </c>
      <c r="AI520" s="4">
        <v>9</v>
      </c>
      <c r="AJ520" s="4">
        <v>7</v>
      </c>
      <c r="AK520" s="4">
        <v>10</v>
      </c>
      <c r="AL520" s="4">
        <v>10</v>
      </c>
      <c r="AW520" s="4">
        <v>8</v>
      </c>
      <c r="AX520" s="4">
        <v>9</v>
      </c>
      <c r="AY520" s="3" t="s">
        <v>17</v>
      </c>
      <c r="BB520" s="3" t="s">
        <v>17</v>
      </c>
      <c r="BC520" s="3" t="s">
        <v>22</v>
      </c>
      <c r="BD520" s="3" t="s">
        <v>615</v>
      </c>
      <c r="BE520" s="3" t="s">
        <v>619</v>
      </c>
      <c r="BF520" s="3" t="s">
        <v>1192</v>
      </c>
      <c r="BG520" s="3" t="s">
        <v>1193</v>
      </c>
      <c r="BH520" s="3" t="s">
        <v>1194</v>
      </c>
    </row>
    <row r="521" spans="1:60" x14ac:dyDescent="0.3">
      <c r="A521" s="3" t="s">
        <v>1145</v>
      </c>
      <c r="B521" s="3" t="s">
        <v>26</v>
      </c>
      <c r="C521" s="3">
        <v>14</v>
      </c>
      <c r="D521" s="3">
        <v>5</v>
      </c>
      <c r="E521" s="4">
        <v>10</v>
      </c>
      <c r="F521" s="4">
        <v>10</v>
      </c>
      <c r="AE521" s="4">
        <v>10</v>
      </c>
      <c r="AF521" s="4">
        <v>9</v>
      </c>
      <c r="AI521" s="4">
        <v>10</v>
      </c>
      <c r="AJ521" s="4">
        <v>10</v>
      </c>
      <c r="AK521" s="4">
        <v>10</v>
      </c>
      <c r="AL521" s="4">
        <v>10</v>
      </c>
      <c r="AW521" s="4">
        <v>9</v>
      </c>
      <c r="AX521" s="4">
        <v>9</v>
      </c>
      <c r="AY521" s="3" t="s">
        <v>18</v>
      </c>
      <c r="AZ521" s="3" t="s">
        <v>22</v>
      </c>
      <c r="BD521" s="3" t="s">
        <v>656</v>
      </c>
      <c r="BE521" s="3" t="s">
        <v>623</v>
      </c>
      <c r="BF521" s="3" t="s">
        <v>1195</v>
      </c>
      <c r="BG521" s="3" t="s">
        <v>1196</v>
      </c>
    </row>
    <row r="522" spans="1:60" x14ac:dyDescent="0.3">
      <c r="A522" s="3" t="s">
        <v>1145</v>
      </c>
      <c r="B522" s="3" t="s">
        <v>16</v>
      </c>
      <c r="C522" s="3">
        <v>14</v>
      </c>
      <c r="D522" s="3">
        <v>4</v>
      </c>
      <c r="E522" s="4">
        <v>9</v>
      </c>
      <c r="F522" s="4">
        <v>9</v>
      </c>
      <c r="AE522" s="4">
        <v>10</v>
      </c>
      <c r="AF522" s="4">
        <v>10</v>
      </c>
      <c r="AI522" s="4">
        <v>10</v>
      </c>
      <c r="AJ522" s="4">
        <v>10</v>
      </c>
      <c r="AK522" s="4">
        <v>10</v>
      </c>
      <c r="AL522" s="4">
        <v>10</v>
      </c>
      <c r="AW522" s="4">
        <v>10</v>
      </c>
      <c r="AX522" s="4">
        <v>10</v>
      </c>
      <c r="AY522" s="3" t="s">
        <v>17</v>
      </c>
      <c r="BB522" s="3" t="s">
        <v>18</v>
      </c>
      <c r="BC522" s="3" t="s">
        <v>22</v>
      </c>
      <c r="BD522" s="3" t="s">
        <v>615</v>
      </c>
      <c r="BE522" s="3" t="s">
        <v>623</v>
      </c>
      <c r="BF522" s="3" t="s">
        <v>1197</v>
      </c>
      <c r="BG522" s="3" t="s">
        <v>1198</v>
      </c>
      <c r="BH522" s="3" t="s">
        <v>1199</v>
      </c>
    </row>
    <row r="523" spans="1:60" x14ac:dyDescent="0.3">
      <c r="A523" s="3" t="s">
        <v>1145</v>
      </c>
      <c r="B523" s="3" t="s">
        <v>26</v>
      </c>
      <c r="C523" s="3">
        <v>16</v>
      </c>
      <c r="D523" s="3">
        <v>5</v>
      </c>
      <c r="K523" s="4">
        <v>9</v>
      </c>
      <c r="L523" s="4">
        <v>10</v>
      </c>
      <c r="U523" s="4">
        <v>9</v>
      </c>
      <c r="V523" s="4">
        <v>10</v>
      </c>
      <c r="AK523" s="4">
        <v>9</v>
      </c>
      <c r="AL523" s="4">
        <v>8</v>
      </c>
      <c r="AW523" s="4">
        <v>7</v>
      </c>
      <c r="AX523" s="4">
        <v>8</v>
      </c>
      <c r="AY523" s="3" t="s">
        <v>18</v>
      </c>
      <c r="AZ523" s="3" t="s">
        <v>22</v>
      </c>
      <c r="BD523" s="3" t="s">
        <v>615</v>
      </c>
      <c r="BE523" s="3" t="s">
        <v>619</v>
      </c>
    </row>
    <row r="524" spans="1:60" x14ac:dyDescent="0.3">
      <c r="A524" s="3" t="s">
        <v>1145</v>
      </c>
      <c r="B524" s="3" t="s">
        <v>26</v>
      </c>
      <c r="C524" s="3">
        <v>16</v>
      </c>
      <c r="D524" s="3">
        <v>5</v>
      </c>
      <c r="K524" s="4">
        <v>10</v>
      </c>
      <c r="L524" s="4">
        <v>10</v>
      </c>
      <c r="U524" s="4">
        <v>10</v>
      </c>
      <c r="V524" s="4">
        <v>10</v>
      </c>
      <c r="AK524" s="4">
        <v>10</v>
      </c>
      <c r="AL524" s="4">
        <v>10</v>
      </c>
      <c r="AW524" s="4">
        <v>10</v>
      </c>
      <c r="AX524" s="4">
        <v>10</v>
      </c>
      <c r="AY524" s="3" t="s">
        <v>18</v>
      </c>
      <c r="AZ524" s="3" t="s">
        <v>22</v>
      </c>
      <c r="BD524" s="3" t="s">
        <v>618</v>
      </c>
      <c r="BE524" s="3" t="s">
        <v>623</v>
      </c>
      <c r="BF524" s="3" t="s">
        <v>1200</v>
      </c>
      <c r="BG524" s="3" t="s">
        <v>24</v>
      </c>
    </row>
    <row r="525" spans="1:60" x14ac:dyDescent="0.3">
      <c r="A525" s="3" t="s">
        <v>1145</v>
      </c>
      <c r="B525" s="3" t="s">
        <v>26</v>
      </c>
      <c r="C525" s="3">
        <v>16</v>
      </c>
      <c r="D525" s="3">
        <v>5</v>
      </c>
      <c r="K525" s="4">
        <v>9</v>
      </c>
      <c r="L525" s="4">
        <v>10</v>
      </c>
      <c r="U525" s="4">
        <v>9</v>
      </c>
      <c r="V525" s="4">
        <v>9</v>
      </c>
      <c r="AK525" s="4">
        <v>8</v>
      </c>
      <c r="AL525" s="4">
        <v>7</v>
      </c>
      <c r="AW525" s="4">
        <v>7</v>
      </c>
      <c r="AX525" s="4">
        <v>8</v>
      </c>
      <c r="AY525" s="3" t="s">
        <v>18</v>
      </c>
      <c r="AZ525" s="3" t="s">
        <v>22</v>
      </c>
      <c r="BD525" s="3" t="s">
        <v>618</v>
      </c>
      <c r="BE525" s="3" t="s">
        <v>623</v>
      </c>
      <c r="BF525" s="3" t="s">
        <v>1151</v>
      </c>
      <c r="BG525" s="3" t="s">
        <v>724</v>
      </c>
    </row>
    <row r="526" spans="1:60" x14ac:dyDescent="0.3">
      <c r="A526" s="3" t="s">
        <v>1145</v>
      </c>
      <c r="B526" s="3" t="s">
        <v>16</v>
      </c>
      <c r="C526" s="3">
        <v>16</v>
      </c>
      <c r="D526" s="3">
        <v>5</v>
      </c>
      <c r="K526" s="4">
        <v>10</v>
      </c>
      <c r="L526" s="4">
        <v>10</v>
      </c>
      <c r="U526" s="4">
        <v>9</v>
      </c>
      <c r="V526" s="4">
        <v>9</v>
      </c>
      <c r="AK526" s="4">
        <v>9</v>
      </c>
      <c r="AL526" s="4">
        <v>9</v>
      </c>
      <c r="AW526" s="4">
        <v>8</v>
      </c>
      <c r="AX526" s="4">
        <v>8</v>
      </c>
      <c r="AY526" s="3" t="s">
        <v>18</v>
      </c>
      <c r="AZ526" s="3" t="s">
        <v>17</v>
      </c>
      <c r="BA526" s="3" t="s">
        <v>1201</v>
      </c>
      <c r="BD526" s="3" t="s">
        <v>618</v>
      </c>
      <c r="BE526" s="3" t="s">
        <v>623</v>
      </c>
      <c r="BF526" s="3" t="s">
        <v>1202</v>
      </c>
      <c r="BG526" s="3" t="s">
        <v>1203</v>
      </c>
    </row>
    <row r="527" spans="1:60" x14ac:dyDescent="0.3">
      <c r="A527" s="3" t="s">
        <v>1145</v>
      </c>
      <c r="B527" s="3" t="s">
        <v>26</v>
      </c>
      <c r="C527" s="3">
        <v>16</v>
      </c>
      <c r="D527" s="3">
        <v>5</v>
      </c>
      <c r="K527" s="4">
        <v>10</v>
      </c>
      <c r="L527" s="4">
        <v>10</v>
      </c>
      <c r="U527" s="4">
        <v>10</v>
      </c>
      <c r="V527" s="4">
        <v>9</v>
      </c>
      <c r="AK527" s="4">
        <v>10</v>
      </c>
      <c r="AL527" s="4">
        <v>9</v>
      </c>
      <c r="AW527" s="4">
        <v>8</v>
      </c>
      <c r="AX527" s="4">
        <v>6</v>
      </c>
      <c r="AY527" s="3" t="s">
        <v>22</v>
      </c>
      <c r="AZ527" s="3" t="s">
        <v>18</v>
      </c>
      <c r="BA527" s="3" t="s">
        <v>1204</v>
      </c>
      <c r="BD527" s="3" t="s">
        <v>656</v>
      </c>
      <c r="BE527" s="3" t="s">
        <v>619</v>
      </c>
      <c r="BF527" s="3" t="s">
        <v>1205</v>
      </c>
      <c r="BG527" s="3" t="s">
        <v>1206</v>
      </c>
    </row>
    <row r="528" spans="1:60" x14ac:dyDescent="0.3">
      <c r="A528" s="3" t="s">
        <v>1145</v>
      </c>
      <c r="B528" s="3" t="s">
        <v>26</v>
      </c>
      <c r="C528" s="3">
        <v>16</v>
      </c>
      <c r="D528" s="3">
        <v>5</v>
      </c>
      <c r="K528" s="4">
        <v>7</v>
      </c>
      <c r="L528" s="4">
        <v>9</v>
      </c>
      <c r="U528" s="4">
        <v>8</v>
      </c>
      <c r="V528" s="4">
        <v>9</v>
      </c>
      <c r="AK528" s="4">
        <v>8</v>
      </c>
      <c r="AL528" s="4">
        <v>8</v>
      </c>
      <c r="AW528" s="4">
        <v>7</v>
      </c>
      <c r="AX528" s="4">
        <v>7</v>
      </c>
      <c r="AY528" s="3" t="s">
        <v>22</v>
      </c>
      <c r="AZ528" s="3" t="s">
        <v>22</v>
      </c>
      <c r="BA528" s="3" t="s">
        <v>1207</v>
      </c>
      <c r="BD528" s="3" t="s">
        <v>656</v>
      </c>
      <c r="BE528" s="3" t="s">
        <v>623</v>
      </c>
      <c r="BF528" s="3" t="s">
        <v>1208</v>
      </c>
      <c r="BG528" s="3" t="s">
        <v>28</v>
      </c>
    </row>
    <row r="529" spans="1:60" x14ac:dyDescent="0.3">
      <c r="A529" s="3" t="s">
        <v>1145</v>
      </c>
      <c r="B529" s="3" t="s">
        <v>26</v>
      </c>
      <c r="C529" s="3">
        <v>16</v>
      </c>
      <c r="D529" s="3">
        <v>3</v>
      </c>
      <c r="K529" s="4">
        <v>5</v>
      </c>
      <c r="L529" s="4">
        <v>7</v>
      </c>
      <c r="U529" s="4">
        <v>5</v>
      </c>
      <c r="V529" s="4">
        <v>7</v>
      </c>
      <c r="AK529" s="4">
        <v>10</v>
      </c>
      <c r="AL529" s="4">
        <v>10</v>
      </c>
      <c r="AW529" s="4">
        <v>5</v>
      </c>
      <c r="AX529" s="4">
        <v>7</v>
      </c>
      <c r="AY529" s="3" t="s">
        <v>22</v>
      </c>
      <c r="AZ529" s="3" t="s">
        <v>18</v>
      </c>
      <c r="BA529" s="3" t="s">
        <v>1209</v>
      </c>
      <c r="BD529" s="3" t="s">
        <v>618</v>
      </c>
      <c r="BE529" s="3" t="s">
        <v>619</v>
      </c>
      <c r="BF529" s="3" t="s">
        <v>1210</v>
      </c>
      <c r="BG529" s="3" t="s">
        <v>1210</v>
      </c>
    </row>
    <row r="530" spans="1:60" x14ac:dyDescent="0.3">
      <c r="A530" s="3" t="s">
        <v>1145</v>
      </c>
      <c r="B530" s="3" t="s">
        <v>26</v>
      </c>
      <c r="C530" s="3">
        <v>16</v>
      </c>
      <c r="D530" s="3">
        <v>5</v>
      </c>
      <c r="K530" s="4">
        <v>4</v>
      </c>
      <c r="L530" s="4">
        <v>6</v>
      </c>
      <c r="U530" s="4">
        <v>10</v>
      </c>
      <c r="V530" s="4">
        <v>9</v>
      </c>
      <c r="AK530" s="4">
        <v>10</v>
      </c>
      <c r="AL530" s="4">
        <v>9</v>
      </c>
      <c r="AW530" s="4">
        <v>9</v>
      </c>
      <c r="AX530" s="4">
        <v>7</v>
      </c>
      <c r="AY530" s="3" t="s">
        <v>17</v>
      </c>
      <c r="BB530" s="3" t="s">
        <v>17</v>
      </c>
      <c r="BC530" s="3" t="s">
        <v>22</v>
      </c>
      <c r="BD530" s="3" t="s">
        <v>656</v>
      </c>
      <c r="BE530" s="3" t="s">
        <v>623</v>
      </c>
      <c r="BF530" s="3" t="s">
        <v>1211</v>
      </c>
      <c r="BG530" s="3" t="s">
        <v>35</v>
      </c>
    </row>
    <row r="531" spans="1:60" x14ac:dyDescent="0.3">
      <c r="A531" s="3" t="s">
        <v>1145</v>
      </c>
      <c r="B531" s="3" t="s">
        <v>26</v>
      </c>
      <c r="C531" s="3">
        <v>17</v>
      </c>
      <c r="D531" s="3">
        <v>5</v>
      </c>
      <c r="K531" s="4">
        <v>3</v>
      </c>
      <c r="L531" s="4">
        <v>7</v>
      </c>
      <c r="U531" s="4">
        <v>5</v>
      </c>
      <c r="V531" s="4">
        <v>7</v>
      </c>
      <c r="AK531" s="4">
        <v>6</v>
      </c>
      <c r="AL531" s="4">
        <v>8</v>
      </c>
      <c r="AW531" s="4">
        <v>9</v>
      </c>
      <c r="AX531" s="4">
        <v>7</v>
      </c>
      <c r="AY531" s="3" t="s">
        <v>18</v>
      </c>
      <c r="AZ531" s="3" t="s">
        <v>18</v>
      </c>
      <c r="BA531" s="3" t="s">
        <v>1212</v>
      </c>
      <c r="BD531" s="3" t="s">
        <v>656</v>
      </c>
      <c r="BE531" s="3" t="s">
        <v>619</v>
      </c>
      <c r="BF531" s="3" t="s">
        <v>1213</v>
      </c>
      <c r="BG531" s="3" t="s">
        <v>35</v>
      </c>
    </row>
    <row r="532" spans="1:60" x14ac:dyDescent="0.3">
      <c r="A532" s="3" t="s">
        <v>1145</v>
      </c>
      <c r="B532" s="3" t="s">
        <v>26</v>
      </c>
      <c r="C532" s="3">
        <v>16</v>
      </c>
      <c r="D532" s="3">
        <v>5</v>
      </c>
      <c r="K532" s="4">
        <v>10</v>
      </c>
      <c r="L532" s="4">
        <v>10</v>
      </c>
      <c r="U532" s="4">
        <v>9</v>
      </c>
      <c r="V532" s="4">
        <v>9</v>
      </c>
      <c r="AK532" s="4">
        <v>9</v>
      </c>
      <c r="AL532" s="4">
        <v>9</v>
      </c>
      <c r="AW532" s="4">
        <v>9</v>
      </c>
      <c r="AX532" s="4">
        <v>9</v>
      </c>
      <c r="AY532" s="3" t="s">
        <v>17</v>
      </c>
      <c r="BB532" s="3" t="s">
        <v>17</v>
      </c>
      <c r="BC532" s="3" t="s">
        <v>22</v>
      </c>
      <c r="BD532" s="3" t="s">
        <v>618</v>
      </c>
      <c r="BE532" s="3" t="s">
        <v>619</v>
      </c>
      <c r="BF532" s="3" t="s">
        <v>1214</v>
      </c>
      <c r="BG532" s="3" t="s">
        <v>24</v>
      </c>
    </row>
    <row r="533" spans="1:60" x14ac:dyDescent="0.3">
      <c r="A533" s="3" t="s">
        <v>1145</v>
      </c>
      <c r="B533" s="3" t="s">
        <v>26</v>
      </c>
      <c r="C533" s="3">
        <v>16</v>
      </c>
      <c r="D533" s="3">
        <v>5</v>
      </c>
      <c r="K533" s="4">
        <v>10</v>
      </c>
      <c r="L533" s="4">
        <v>10</v>
      </c>
      <c r="U533" s="4">
        <v>10</v>
      </c>
      <c r="V533" s="4">
        <v>10</v>
      </c>
      <c r="AK533" s="4">
        <v>10</v>
      </c>
      <c r="AL533" s="4">
        <v>10</v>
      </c>
      <c r="AW533" s="4">
        <v>10</v>
      </c>
      <c r="AX533" s="4">
        <v>10</v>
      </c>
      <c r="AY533" s="3" t="s">
        <v>18</v>
      </c>
      <c r="AZ533" s="3" t="s">
        <v>18</v>
      </c>
      <c r="BD533" s="3" t="s">
        <v>618</v>
      </c>
      <c r="BE533" s="3" t="s">
        <v>619</v>
      </c>
      <c r="BF533" s="3" t="s">
        <v>1215</v>
      </c>
      <c r="BG533" s="3" t="s">
        <v>24</v>
      </c>
    </row>
    <row r="534" spans="1:60" x14ac:dyDescent="0.3">
      <c r="A534" s="3" t="s">
        <v>1145</v>
      </c>
      <c r="B534" s="3" t="s">
        <v>26</v>
      </c>
      <c r="C534" s="3">
        <v>15</v>
      </c>
      <c r="D534" s="3">
        <v>4</v>
      </c>
      <c r="K534" s="4">
        <v>5</v>
      </c>
      <c r="L534" s="4">
        <v>2</v>
      </c>
      <c r="U534" s="4">
        <v>10</v>
      </c>
      <c r="V534" s="4">
        <v>8</v>
      </c>
      <c r="AK534" s="4">
        <v>9</v>
      </c>
      <c r="AL534" s="4">
        <v>9</v>
      </c>
      <c r="AW534" s="4">
        <v>5</v>
      </c>
      <c r="AX534" s="4">
        <v>4</v>
      </c>
      <c r="AY534" s="3" t="s">
        <v>18</v>
      </c>
      <c r="AZ534" s="3" t="s">
        <v>22</v>
      </c>
      <c r="BD534" s="3" t="s">
        <v>615</v>
      </c>
      <c r="BE534" s="3" t="s">
        <v>619</v>
      </c>
      <c r="BF534" s="3" t="s">
        <v>1216</v>
      </c>
      <c r="BG534" s="3" t="s">
        <v>664</v>
      </c>
    </row>
    <row r="535" spans="1:60" x14ac:dyDescent="0.3">
      <c r="A535" s="3" t="s">
        <v>1145</v>
      </c>
      <c r="B535" s="3" t="s">
        <v>26</v>
      </c>
      <c r="C535" s="3">
        <v>16</v>
      </c>
      <c r="D535" s="3">
        <v>4</v>
      </c>
      <c r="K535" s="4">
        <v>10</v>
      </c>
      <c r="L535" s="4">
        <v>10</v>
      </c>
      <c r="U535" s="4">
        <v>8</v>
      </c>
      <c r="V535" s="4">
        <v>9</v>
      </c>
      <c r="AK535" s="4">
        <v>10</v>
      </c>
      <c r="AL535" s="4">
        <v>8</v>
      </c>
      <c r="AW535" s="4">
        <v>7</v>
      </c>
      <c r="AX535" s="4">
        <v>2</v>
      </c>
      <c r="AY535" s="3" t="s">
        <v>17</v>
      </c>
      <c r="BB535" s="3" t="s">
        <v>18</v>
      </c>
      <c r="BC535" s="3" t="s">
        <v>22</v>
      </c>
      <c r="BD535" s="3" t="s">
        <v>618</v>
      </c>
      <c r="BE535" s="3" t="s">
        <v>619</v>
      </c>
      <c r="BF535" s="3" t="s">
        <v>1217</v>
      </c>
      <c r="BG535" s="3" t="s">
        <v>1218</v>
      </c>
    </row>
    <row r="536" spans="1:60" x14ac:dyDescent="0.3">
      <c r="A536" s="3" t="s">
        <v>1145</v>
      </c>
      <c r="B536" s="3" t="s">
        <v>16</v>
      </c>
      <c r="C536" s="3">
        <v>16</v>
      </c>
      <c r="D536" s="3">
        <v>5</v>
      </c>
      <c r="K536" s="4">
        <v>10</v>
      </c>
      <c r="L536" s="4">
        <v>10</v>
      </c>
      <c r="U536" s="4">
        <v>9</v>
      </c>
      <c r="V536" s="4">
        <v>9</v>
      </c>
      <c r="AK536" s="4">
        <v>9</v>
      </c>
      <c r="AL536" s="4">
        <v>9</v>
      </c>
      <c r="AW536" s="4">
        <v>8</v>
      </c>
      <c r="AX536" s="4">
        <v>7</v>
      </c>
      <c r="AY536" s="3" t="s">
        <v>18</v>
      </c>
      <c r="AZ536" s="3" t="s">
        <v>18</v>
      </c>
      <c r="BD536" s="3" t="s">
        <v>618</v>
      </c>
      <c r="BE536" s="3" t="s">
        <v>623</v>
      </c>
      <c r="BF536" s="3" t="s">
        <v>1219</v>
      </c>
      <c r="BG536" s="3" t="s">
        <v>1220</v>
      </c>
    </row>
    <row r="537" spans="1:60" x14ac:dyDescent="0.3">
      <c r="A537" s="3" t="s">
        <v>1145</v>
      </c>
      <c r="B537" s="3" t="s">
        <v>26</v>
      </c>
      <c r="C537" s="3">
        <v>15</v>
      </c>
      <c r="D537" s="3">
        <v>5</v>
      </c>
      <c r="K537" s="4">
        <v>10</v>
      </c>
      <c r="L537" s="4">
        <v>10</v>
      </c>
      <c r="U537" s="4">
        <v>10</v>
      </c>
      <c r="V537" s="4">
        <v>10</v>
      </c>
      <c r="AK537" s="4">
        <v>7</v>
      </c>
      <c r="AL537" s="4">
        <v>5</v>
      </c>
      <c r="AW537" s="4">
        <v>7</v>
      </c>
      <c r="AX537" s="4">
        <v>5</v>
      </c>
      <c r="AY537" s="3" t="s">
        <v>22</v>
      </c>
      <c r="AZ537" s="3" t="s">
        <v>22</v>
      </c>
      <c r="BD537" s="3" t="s">
        <v>656</v>
      </c>
      <c r="BE537" s="3" t="s">
        <v>623</v>
      </c>
      <c r="BF537" s="3" t="s">
        <v>86</v>
      </c>
      <c r="BG537" s="3" t="s">
        <v>1221</v>
      </c>
    </row>
    <row r="538" spans="1:60" x14ac:dyDescent="0.3">
      <c r="A538" s="3" t="s">
        <v>1145</v>
      </c>
      <c r="B538" s="3" t="s">
        <v>26</v>
      </c>
      <c r="C538" s="3">
        <v>15</v>
      </c>
      <c r="D538" s="3">
        <v>5</v>
      </c>
      <c r="K538" s="4">
        <v>6</v>
      </c>
      <c r="L538" s="4">
        <v>7</v>
      </c>
      <c r="U538" s="4">
        <v>8</v>
      </c>
      <c r="V538" s="4">
        <v>9</v>
      </c>
      <c r="AK538" s="4">
        <v>10</v>
      </c>
      <c r="AL538" s="4">
        <v>10</v>
      </c>
      <c r="AW538" s="4">
        <v>5</v>
      </c>
      <c r="AX538" s="4">
        <v>6</v>
      </c>
      <c r="AY538" s="3" t="s">
        <v>18</v>
      </c>
      <c r="AZ538" s="3" t="s">
        <v>18</v>
      </c>
      <c r="BD538" s="3" t="s">
        <v>618</v>
      </c>
      <c r="BE538" s="3" t="s">
        <v>623</v>
      </c>
      <c r="BF538" s="3" t="s">
        <v>1222</v>
      </c>
      <c r="BG538" s="3" t="s">
        <v>1223</v>
      </c>
    </row>
    <row r="539" spans="1:60" x14ac:dyDescent="0.3">
      <c r="A539" s="3" t="s">
        <v>1145</v>
      </c>
      <c r="B539" s="3" t="s">
        <v>26</v>
      </c>
      <c r="C539" s="3">
        <v>15</v>
      </c>
      <c r="D539" s="3">
        <v>5</v>
      </c>
      <c r="K539" s="4">
        <v>10</v>
      </c>
      <c r="L539" s="4">
        <v>10</v>
      </c>
      <c r="U539" s="4">
        <v>9</v>
      </c>
      <c r="V539" s="4">
        <v>10</v>
      </c>
      <c r="AK539" s="4">
        <v>9</v>
      </c>
      <c r="AL539" s="4">
        <v>10</v>
      </c>
      <c r="AW539" s="4">
        <v>10</v>
      </c>
      <c r="AX539" s="4">
        <v>10</v>
      </c>
      <c r="AY539" s="3" t="s">
        <v>22</v>
      </c>
      <c r="AZ539" s="3" t="s">
        <v>18</v>
      </c>
      <c r="BA539" s="3" t="s">
        <v>1224</v>
      </c>
      <c r="BD539" s="3" t="s">
        <v>656</v>
      </c>
      <c r="BE539" s="3" t="s">
        <v>623</v>
      </c>
      <c r="BF539" s="3" t="s">
        <v>1151</v>
      </c>
      <c r="BG539" s="3" t="s">
        <v>28</v>
      </c>
    </row>
    <row r="540" spans="1:60" x14ac:dyDescent="0.3">
      <c r="A540" s="3" t="s">
        <v>1145</v>
      </c>
      <c r="B540" s="3" t="s">
        <v>26</v>
      </c>
      <c r="C540" s="3">
        <v>16</v>
      </c>
      <c r="D540" s="3">
        <v>5</v>
      </c>
      <c r="K540" s="4">
        <v>10</v>
      </c>
      <c r="L540" s="4">
        <v>10</v>
      </c>
      <c r="U540" s="4">
        <v>8</v>
      </c>
      <c r="V540" s="4">
        <v>10</v>
      </c>
      <c r="AK540" s="4">
        <v>10</v>
      </c>
      <c r="AL540" s="4">
        <v>9</v>
      </c>
      <c r="AW540" s="4">
        <v>8</v>
      </c>
      <c r="AX540" s="4">
        <v>9</v>
      </c>
      <c r="AY540" s="3" t="s">
        <v>17</v>
      </c>
      <c r="BB540" s="3" t="s">
        <v>18</v>
      </c>
      <c r="BC540" s="3" t="s">
        <v>22</v>
      </c>
      <c r="BD540" s="3" t="s">
        <v>615</v>
      </c>
      <c r="BE540" s="3" t="s">
        <v>623</v>
      </c>
      <c r="BF540" s="3" t="s">
        <v>1225</v>
      </c>
    </row>
    <row r="541" spans="1:60" x14ac:dyDescent="0.3">
      <c r="A541" s="3" t="s">
        <v>1145</v>
      </c>
      <c r="B541" s="3" t="s">
        <v>16</v>
      </c>
      <c r="C541" s="3">
        <v>17</v>
      </c>
      <c r="D541" s="3">
        <v>1</v>
      </c>
      <c r="E541" s="4">
        <v>8</v>
      </c>
      <c r="F541" s="4">
        <v>10</v>
      </c>
      <c r="G541" s="4">
        <v>10</v>
      </c>
      <c r="H541" s="4">
        <v>10</v>
      </c>
      <c r="I541" s="4">
        <v>10</v>
      </c>
      <c r="J541" s="4">
        <v>10</v>
      </c>
      <c r="Q541" s="4">
        <v>10</v>
      </c>
      <c r="R541" s="4">
        <v>10</v>
      </c>
      <c r="S541" s="4">
        <v>10</v>
      </c>
      <c r="T541" s="4">
        <v>10</v>
      </c>
      <c r="AA541" s="4">
        <v>10</v>
      </c>
      <c r="AB541" s="4">
        <v>10</v>
      </c>
      <c r="AY541" s="3" t="s">
        <v>22</v>
      </c>
      <c r="AZ541" s="3" t="s">
        <v>22</v>
      </c>
      <c r="BD541" s="3" t="s">
        <v>656</v>
      </c>
      <c r="BE541" s="3" t="s">
        <v>623</v>
      </c>
      <c r="BF541" s="3" t="s">
        <v>1226</v>
      </c>
      <c r="BG541" s="3" t="s">
        <v>24</v>
      </c>
    </row>
    <row r="542" spans="1:60" x14ac:dyDescent="0.3">
      <c r="A542" s="3" t="s">
        <v>1145</v>
      </c>
      <c r="B542" s="3" t="s">
        <v>26</v>
      </c>
      <c r="C542" s="3">
        <v>17</v>
      </c>
      <c r="D542" s="3">
        <v>5</v>
      </c>
      <c r="E542" s="4">
        <v>10</v>
      </c>
      <c r="F542" s="4">
        <v>5</v>
      </c>
      <c r="G542" s="4">
        <v>4</v>
      </c>
      <c r="H542" s="4">
        <v>3</v>
      </c>
      <c r="I542" s="4">
        <v>5</v>
      </c>
      <c r="J542" s="4">
        <v>5</v>
      </c>
      <c r="Q542" s="4">
        <v>6</v>
      </c>
      <c r="R542" s="4">
        <v>4</v>
      </c>
      <c r="S542" s="4">
        <v>3</v>
      </c>
      <c r="T542" s="4">
        <v>10</v>
      </c>
      <c r="AA542" s="4">
        <v>9</v>
      </c>
      <c r="AB542" s="4">
        <v>10</v>
      </c>
      <c r="AY542" s="3" t="s">
        <v>18</v>
      </c>
      <c r="AZ542" s="3" t="s">
        <v>22</v>
      </c>
      <c r="BD542" s="3" t="s">
        <v>618</v>
      </c>
      <c r="BE542" s="3" t="s">
        <v>619</v>
      </c>
      <c r="BF542" s="3" t="s">
        <v>261</v>
      </c>
      <c r="BG542" s="3" t="s">
        <v>1227</v>
      </c>
      <c r="BH542" s="3" t="s">
        <v>1228</v>
      </c>
    </row>
    <row r="543" spans="1:60" x14ac:dyDescent="0.3">
      <c r="A543" s="3" t="s">
        <v>1145</v>
      </c>
      <c r="B543" s="3" t="s">
        <v>26</v>
      </c>
      <c r="C543" s="3">
        <v>17</v>
      </c>
      <c r="D543" s="3">
        <v>5</v>
      </c>
      <c r="E543" s="4">
        <v>10</v>
      </c>
      <c r="F543" s="4">
        <v>10</v>
      </c>
      <c r="G543" s="4">
        <v>10</v>
      </c>
      <c r="H543" s="4">
        <v>10</v>
      </c>
      <c r="I543" s="4">
        <v>10</v>
      </c>
      <c r="J543" s="4">
        <v>10</v>
      </c>
      <c r="Q543" s="4">
        <v>10</v>
      </c>
      <c r="R543" s="4">
        <v>10</v>
      </c>
      <c r="S543" s="4">
        <v>10</v>
      </c>
      <c r="T543" s="4">
        <v>10</v>
      </c>
      <c r="AA543" s="4">
        <v>10</v>
      </c>
      <c r="AB543" s="4">
        <v>10</v>
      </c>
      <c r="AY543" s="3" t="s">
        <v>22</v>
      </c>
      <c r="AZ543" s="3" t="s">
        <v>17</v>
      </c>
      <c r="BA543" s="3" t="s">
        <v>1229</v>
      </c>
      <c r="BD543" s="3" t="s">
        <v>656</v>
      </c>
      <c r="BE543" s="3" t="s">
        <v>619</v>
      </c>
      <c r="BF543" s="3" t="s">
        <v>140</v>
      </c>
      <c r="BG543" s="3" t="s">
        <v>358</v>
      </c>
      <c r="BH543" s="3" t="s">
        <v>1230</v>
      </c>
    </row>
    <row r="544" spans="1:60" x14ac:dyDescent="0.3">
      <c r="A544" s="3" t="s">
        <v>1145</v>
      </c>
      <c r="B544" s="3" t="s">
        <v>26</v>
      </c>
      <c r="C544" s="3">
        <v>17</v>
      </c>
      <c r="D544" s="3">
        <v>5</v>
      </c>
      <c r="E544" s="4">
        <v>8</v>
      </c>
      <c r="F544" s="4">
        <v>8</v>
      </c>
      <c r="G544" s="4">
        <v>8</v>
      </c>
      <c r="H544" s="4">
        <v>9</v>
      </c>
      <c r="I544" s="4">
        <v>5</v>
      </c>
      <c r="J544" s="4">
        <v>5</v>
      </c>
      <c r="Q544" s="4">
        <v>9</v>
      </c>
      <c r="R544" s="4">
        <v>8</v>
      </c>
      <c r="S544" s="4">
        <v>9</v>
      </c>
      <c r="T544" s="4">
        <v>10</v>
      </c>
      <c r="AA544" s="4">
        <v>10</v>
      </c>
      <c r="AB544" s="4">
        <v>10</v>
      </c>
      <c r="AY544" s="3" t="s">
        <v>22</v>
      </c>
      <c r="AZ544" s="3" t="s">
        <v>17</v>
      </c>
      <c r="BA544" s="3" t="s">
        <v>1231</v>
      </c>
      <c r="BD544" s="3" t="s">
        <v>656</v>
      </c>
      <c r="BE544" s="3" t="s">
        <v>623</v>
      </c>
      <c r="BF544" s="3" t="s">
        <v>1232</v>
      </c>
      <c r="BG544" s="3" t="s">
        <v>1233</v>
      </c>
      <c r="BH544" s="3" t="s">
        <v>1234</v>
      </c>
    </row>
    <row r="545" spans="1:60" x14ac:dyDescent="0.3">
      <c r="A545" s="3" t="s">
        <v>1145</v>
      </c>
      <c r="B545" s="3" t="s">
        <v>26</v>
      </c>
      <c r="C545" s="3">
        <v>17</v>
      </c>
      <c r="D545" s="3">
        <v>5</v>
      </c>
      <c r="E545" s="4">
        <v>7</v>
      </c>
      <c r="F545" s="4">
        <v>9</v>
      </c>
      <c r="G545" s="4">
        <v>10</v>
      </c>
      <c r="H545" s="4">
        <v>10</v>
      </c>
      <c r="I545" s="4">
        <v>5</v>
      </c>
      <c r="J545" s="4">
        <v>5</v>
      </c>
      <c r="Q545" s="4">
        <v>8</v>
      </c>
      <c r="R545" s="4">
        <v>10</v>
      </c>
      <c r="S545" s="4">
        <v>10</v>
      </c>
      <c r="T545" s="4">
        <v>7</v>
      </c>
      <c r="AA545" s="4">
        <v>10</v>
      </c>
      <c r="AB545" s="4">
        <v>10</v>
      </c>
      <c r="AY545" s="3" t="s">
        <v>22</v>
      </c>
      <c r="AZ545" s="3" t="s">
        <v>17</v>
      </c>
      <c r="BA545" s="3" t="s">
        <v>1235</v>
      </c>
      <c r="BD545" s="3" t="s">
        <v>618</v>
      </c>
      <c r="BE545" s="3" t="s">
        <v>619</v>
      </c>
      <c r="BF545" s="3" t="s">
        <v>1236</v>
      </c>
      <c r="BG545" s="3" t="s">
        <v>1237</v>
      </c>
      <c r="BH545" s="3" t="s">
        <v>1238</v>
      </c>
    </row>
    <row r="546" spans="1:60" x14ac:dyDescent="0.3">
      <c r="A546" s="3" t="s">
        <v>1145</v>
      </c>
      <c r="B546" s="3" t="s">
        <v>26</v>
      </c>
      <c r="C546" s="3">
        <v>17</v>
      </c>
      <c r="D546" s="3">
        <v>5</v>
      </c>
      <c r="E546" s="4">
        <v>9</v>
      </c>
      <c r="F546" s="4">
        <v>8</v>
      </c>
      <c r="G546" s="4">
        <v>8</v>
      </c>
      <c r="H546" s="4">
        <v>10</v>
      </c>
      <c r="I546" s="4">
        <v>5</v>
      </c>
      <c r="J546" s="4">
        <v>5</v>
      </c>
      <c r="Q546" s="4">
        <v>9</v>
      </c>
      <c r="R546" s="4">
        <v>8</v>
      </c>
      <c r="S546" s="4">
        <v>10</v>
      </c>
      <c r="T546" s="4">
        <v>9</v>
      </c>
      <c r="AA546" s="4">
        <v>9</v>
      </c>
      <c r="AB546" s="4">
        <v>9</v>
      </c>
      <c r="AY546" s="3" t="s">
        <v>22</v>
      </c>
      <c r="AZ546" s="3" t="s">
        <v>22</v>
      </c>
      <c r="BD546" s="3" t="s">
        <v>656</v>
      </c>
      <c r="BE546" s="3" t="s">
        <v>623</v>
      </c>
      <c r="BF546" s="3" t="s">
        <v>1239</v>
      </c>
      <c r="BG546" s="3" t="s">
        <v>1233</v>
      </c>
      <c r="BH546" s="3" t="s">
        <v>1240</v>
      </c>
    </row>
    <row r="547" spans="1:60" x14ac:dyDescent="0.3">
      <c r="A547" s="3" t="s">
        <v>1145</v>
      </c>
      <c r="B547" s="3" t="s">
        <v>16</v>
      </c>
      <c r="C547" s="3">
        <v>18</v>
      </c>
      <c r="D547" s="3">
        <v>5</v>
      </c>
      <c r="E547" s="4">
        <v>9</v>
      </c>
      <c r="F547" s="4">
        <v>8</v>
      </c>
      <c r="G547" s="4">
        <v>9</v>
      </c>
      <c r="H547" s="4">
        <v>8</v>
      </c>
      <c r="I547" s="4">
        <v>5</v>
      </c>
      <c r="J547" s="4">
        <v>5</v>
      </c>
      <c r="Q547" s="4">
        <v>8</v>
      </c>
      <c r="R547" s="4">
        <v>9</v>
      </c>
      <c r="S547" s="4">
        <v>8</v>
      </c>
      <c r="T547" s="4">
        <v>9</v>
      </c>
      <c r="AA547" s="4">
        <v>10</v>
      </c>
      <c r="AB547" s="4">
        <v>8</v>
      </c>
      <c r="AY547" s="3" t="s">
        <v>18</v>
      </c>
      <c r="AZ547" s="3" t="s">
        <v>18</v>
      </c>
      <c r="BA547" s="3" t="s">
        <v>1241</v>
      </c>
      <c r="BD547" s="3" t="s">
        <v>618</v>
      </c>
      <c r="BE547" s="3" t="s">
        <v>623</v>
      </c>
      <c r="BF547" s="3" t="s">
        <v>1242</v>
      </c>
      <c r="BG547" s="3" t="s">
        <v>1243</v>
      </c>
      <c r="BH547" s="3" t="s">
        <v>1244</v>
      </c>
    </row>
    <row r="548" spans="1:60" x14ac:dyDescent="0.3">
      <c r="A548" s="3" t="s">
        <v>1145</v>
      </c>
      <c r="B548" s="3" t="s">
        <v>16</v>
      </c>
      <c r="C548" s="3">
        <v>17</v>
      </c>
      <c r="D548" s="3">
        <v>5</v>
      </c>
      <c r="E548" s="4">
        <v>9</v>
      </c>
      <c r="F548" s="4">
        <v>8</v>
      </c>
      <c r="G548" s="4">
        <v>8</v>
      </c>
      <c r="H548" s="4">
        <v>9</v>
      </c>
      <c r="I548" s="4">
        <v>5</v>
      </c>
      <c r="J548" s="4">
        <v>5</v>
      </c>
      <c r="Q548" s="4">
        <v>8</v>
      </c>
      <c r="R548" s="4">
        <v>8</v>
      </c>
      <c r="S548" s="4">
        <v>9</v>
      </c>
      <c r="T548" s="4">
        <v>10</v>
      </c>
      <c r="AA548" s="4">
        <v>10</v>
      </c>
      <c r="AB548" s="4">
        <v>8</v>
      </c>
      <c r="AY548" s="3" t="s">
        <v>18</v>
      </c>
      <c r="AZ548" s="3" t="s">
        <v>18</v>
      </c>
      <c r="BA548" s="3" t="s">
        <v>1241</v>
      </c>
      <c r="BD548" s="3" t="s">
        <v>615</v>
      </c>
      <c r="BE548" s="3" t="s">
        <v>619</v>
      </c>
      <c r="BF548" s="3" t="s">
        <v>1245</v>
      </c>
      <c r="BG548" s="3" t="s">
        <v>1246</v>
      </c>
      <c r="BH548" s="3" t="s">
        <v>1247</v>
      </c>
    </row>
    <row r="549" spans="1:60" x14ac:dyDescent="0.3">
      <c r="A549" s="3" t="s">
        <v>1145</v>
      </c>
      <c r="B549" s="3" t="s">
        <v>26</v>
      </c>
      <c r="C549" s="3">
        <v>17</v>
      </c>
      <c r="D549" s="3">
        <v>5</v>
      </c>
      <c r="E549" s="4">
        <v>8</v>
      </c>
      <c r="F549" s="4">
        <v>9</v>
      </c>
      <c r="G549" s="4">
        <v>8</v>
      </c>
      <c r="H549" s="4">
        <v>8</v>
      </c>
      <c r="I549" s="4">
        <v>5</v>
      </c>
      <c r="J549" s="4">
        <v>5</v>
      </c>
      <c r="Q549" s="4">
        <v>9</v>
      </c>
      <c r="R549" s="4">
        <v>8</v>
      </c>
      <c r="S549" s="4">
        <v>8</v>
      </c>
      <c r="T549" s="4">
        <v>10</v>
      </c>
      <c r="AA549" s="4">
        <v>10</v>
      </c>
      <c r="AB549" s="4">
        <v>9</v>
      </c>
      <c r="AY549" s="3" t="s">
        <v>18</v>
      </c>
      <c r="AZ549" s="3" t="s">
        <v>18</v>
      </c>
      <c r="BD549" s="3" t="s">
        <v>618</v>
      </c>
      <c r="BE549" s="3" t="s">
        <v>623</v>
      </c>
      <c r="BF549" s="3" t="s">
        <v>1248</v>
      </c>
      <c r="BG549" s="3" t="s">
        <v>1249</v>
      </c>
      <c r="BH549" s="3" t="s">
        <v>1250</v>
      </c>
    </row>
    <row r="550" spans="1:60" x14ac:dyDescent="0.3">
      <c r="A550" s="3" t="s">
        <v>1145</v>
      </c>
      <c r="B550" s="3" t="s">
        <v>26</v>
      </c>
      <c r="C550" s="3">
        <v>17</v>
      </c>
      <c r="D550" s="3">
        <v>5</v>
      </c>
      <c r="E550" s="4">
        <v>5</v>
      </c>
      <c r="F550" s="4">
        <v>3</v>
      </c>
      <c r="G550" s="4">
        <v>6</v>
      </c>
      <c r="H550" s="4">
        <v>3</v>
      </c>
      <c r="I550" s="4">
        <v>5</v>
      </c>
      <c r="J550" s="4">
        <v>5</v>
      </c>
      <c r="Q550" s="4">
        <v>6</v>
      </c>
      <c r="R550" s="4">
        <v>6</v>
      </c>
      <c r="S550" s="4">
        <v>3</v>
      </c>
      <c r="T550" s="4">
        <v>10</v>
      </c>
      <c r="AA550" s="4">
        <v>7</v>
      </c>
      <c r="AB550" s="4">
        <v>7</v>
      </c>
      <c r="AY550" s="3" t="s">
        <v>17</v>
      </c>
      <c r="BB550" s="3" t="s">
        <v>17</v>
      </c>
      <c r="BC550" s="3" t="s">
        <v>22</v>
      </c>
      <c r="BD550" s="3" t="s">
        <v>615</v>
      </c>
      <c r="BE550" s="3" t="s">
        <v>619</v>
      </c>
      <c r="BF550" s="3" t="s">
        <v>301</v>
      </c>
      <c r="BG550" s="3" t="s">
        <v>1251</v>
      </c>
      <c r="BH550" s="3" t="s">
        <v>1252</v>
      </c>
    </row>
    <row r="551" spans="1:60" x14ac:dyDescent="0.3">
      <c r="A551" s="3" t="s">
        <v>1145</v>
      </c>
      <c r="B551" s="3" t="s">
        <v>26</v>
      </c>
      <c r="C551" s="3">
        <v>14</v>
      </c>
      <c r="D551" s="3">
        <v>5</v>
      </c>
      <c r="E551" s="4">
        <v>10</v>
      </c>
      <c r="F551" s="4">
        <v>10</v>
      </c>
      <c r="K551" s="4">
        <v>10</v>
      </c>
      <c r="L551" s="4">
        <v>10</v>
      </c>
      <c r="W551" s="4">
        <v>7</v>
      </c>
      <c r="X551" s="4">
        <v>8</v>
      </c>
      <c r="AY551" s="3" t="s">
        <v>17</v>
      </c>
      <c r="BB551" s="3" t="s">
        <v>18</v>
      </c>
      <c r="BC551" s="3" t="s">
        <v>22</v>
      </c>
      <c r="BD551" s="3" t="s">
        <v>615</v>
      </c>
      <c r="BE551" s="3" t="s">
        <v>623</v>
      </c>
      <c r="BF551" s="3" t="s">
        <v>1253</v>
      </c>
      <c r="BG551" s="3" t="s">
        <v>1254</v>
      </c>
      <c r="BH551" s="3" t="s">
        <v>1255</v>
      </c>
    </row>
    <row r="552" spans="1:60" x14ac:dyDescent="0.3">
      <c r="A552" s="3" t="s">
        <v>1145</v>
      </c>
      <c r="B552" s="3" t="s">
        <v>26</v>
      </c>
      <c r="C552" s="3">
        <v>14</v>
      </c>
      <c r="D552" s="3">
        <v>4</v>
      </c>
      <c r="E552" s="4">
        <v>8</v>
      </c>
      <c r="F552" s="4">
        <v>8</v>
      </c>
      <c r="K552" s="4">
        <v>10</v>
      </c>
      <c r="L552" s="4">
        <v>10</v>
      </c>
      <c r="W552" s="4">
        <v>10</v>
      </c>
      <c r="X552" s="4">
        <v>10</v>
      </c>
      <c r="AK552" s="4">
        <v>6</v>
      </c>
      <c r="AL552" s="4">
        <v>8</v>
      </c>
      <c r="AW552" s="4">
        <v>10</v>
      </c>
      <c r="AX552" s="4">
        <v>10</v>
      </c>
      <c r="AY552" s="3" t="s">
        <v>17</v>
      </c>
      <c r="BB552" s="3" t="s">
        <v>17</v>
      </c>
      <c r="BC552" s="3" t="s">
        <v>22</v>
      </c>
      <c r="BD552" s="3" t="s">
        <v>615</v>
      </c>
      <c r="BE552" s="3" t="s">
        <v>619</v>
      </c>
      <c r="BF552" s="3" t="s">
        <v>1217</v>
      </c>
      <c r="BG552" s="3" t="s">
        <v>910</v>
      </c>
      <c r="BH552" s="3" t="s">
        <v>1256</v>
      </c>
    </row>
    <row r="553" spans="1:60" x14ac:dyDescent="0.3">
      <c r="A553" s="3" t="s">
        <v>1145</v>
      </c>
      <c r="B553" s="3" t="s">
        <v>26</v>
      </c>
      <c r="C553" s="3">
        <v>14</v>
      </c>
      <c r="D553" s="3">
        <v>5</v>
      </c>
      <c r="E553" s="4">
        <v>8</v>
      </c>
      <c r="F553" s="4">
        <v>9</v>
      </c>
      <c r="K553" s="4">
        <v>8</v>
      </c>
      <c r="L553" s="4">
        <v>9</v>
      </c>
      <c r="W553" s="4">
        <v>8</v>
      </c>
      <c r="X553" s="4">
        <v>9</v>
      </c>
      <c r="AK553" s="4">
        <v>10</v>
      </c>
      <c r="AL553" s="4">
        <v>10</v>
      </c>
      <c r="AW553" s="4">
        <v>10</v>
      </c>
      <c r="AX553" s="4">
        <v>10</v>
      </c>
      <c r="AY553" s="3" t="s">
        <v>17</v>
      </c>
      <c r="BB553" s="3" t="s">
        <v>18</v>
      </c>
      <c r="BC553" s="3" t="s">
        <v>22</v>
      </c>
      <c r="BD553" s="3" t="s">
        <v>615</v>
      </c>
      <c r="BE553" s="3" t="s">
        <v>623</v>
      </c>
      <c r="BF553" s="3" t="s">
        <v>1257</v>
      </c>
      <c r="BG553" s="3" t="s">
        <v>1258</v>
      </c>
      <c r="BH553" s="3" t="s">
        <v>1259</v>
      </c>
    </row>
    <row r="554" spans="1:60" x14ac:dyDescent="0.3">
      <c r="A554" s="3" t="s">
        <v>1145</v>
      </c>
      <c r="B554" s="3" t="s">
        <v>16</v>
      </c>
      <c r="C554" s="3">
        <v>14</v>
      </c>
      <c r="D554" s="3">
        <v>5</v>
      </c>
      <c r="E554" s="4">
        <v>10</v>
      </c>
      <c r="F554" s="4">
        <v>10</v>
      </c>
      <c r="K554" s="4">
        <v>10</v>
      </c>
      <c r="L554" s="4">
        <v>10</v>
      </c>
      <c r="W554" s="4">
        <v>10</v>
      </c>
      <c r="X554" s="4">
        <v>10</v>
      </c>
      <c r="AK554" s="4">
        <v>8</v>
      </c>
      <c r="AL554" s="4">
        <v>8</v>
      </c>
      <c r="AW554" s="4">
        <v>8</v>
      </c>
      <c r="AX554" s="4">
        <v>9</v>
      </c>
      <c r="AY554" s="3" t="s">
        <v>18</v>
      </c>
      <c r="AZ554" s="3" t="s">
        <v>18</v>
      </c>
      <c r="BA554" s="3" t="s">
        <v>1260</v>
      </c>
      <c r="BD554" s="3" t="s">
        <v>615</v>
      </c>
      <c r="BE554" s="3" t="s">
        <v>623</v>
      </c>
      <c r="BF554" s="3" t="s">
        <v>1261</v>
      </c>
      <c r="BG554" s="3" t="s">
        <v>1262</v>
      </c>
    </row>
    <row r="555" spans="1:60" x14ac:dyDescent="0.3">
      <c r="A555" s="3" t="s">
        <v>1145</v>
      </c>
      <c r="B555" s="3" t="s">
        <v>26</v>
      </c>
      <c r="C555" s="3">
        <v>14</v>
      </c>
      <c r="D555" s="3">
        <v>5</v>
      </c>
      <c r="E555" s="4">
        <v>9</v>
      </c>
      <c r="F555" s="4">
        <v>9</v>
      </c>
      <c r="K555" s="4">
        <v>8</v>
      </c>
      <c r="L555" s="4">
        <v>10</v>
      </c>
      <c r="W555" s="4">
        <v>7</v>
      </c>
      <c r="X555" s="4">
        <v>8</v>
      </c>
      <c r="AK555" s="4">
        <v>10</v>
      </c>
      <c r="AL555" s="4">
        <v>10</v>
      </c>
      <c r="AW555" s="4">
        <v>10</v>
      </c>
      <c r="AX555" s="4">
        <v>10</v>
      </c>
      <c r="AY555" s="3" t="s">
        <v>22</v>
      </c>
      <c r="AZ555" s="3" t="s">
        <v>18</v>
      </c>
      <c r="BD555" s="3" t="s">
        <v>656</v>
      </c>
      <c r="BE555" s="3" t="s">
        <v>623</v>
      </c>
      <c r="BF555" s="3" t="s">
        <v>1263</v>
      </c>
      <c r="BG555" s="3" t="s">
        <v>1264</v>
      </c>
      <c r="BH555" s="3" t="s">
        <v>1265</v>
      </c>
    </row>
    <row r="556" spans="1:60" x14ac:dyDescent="0.3">
      <c r="A556" s="3" t="s">
        <v>1145</v>
      </c>
      <c r="B556" s="3" t="s">
        <v>16</v>
      </c>
      <c r="C556" s="3">
        <v>14</v>
      </c>
      <c r="D556" s="3">
        <v>4</v>
      </c>
      <c r="E556" s="4">
        <v>8</v>
      </c>
      <c r="F556" s="4">
        <v>8</v>
      </c>
      <c r="K556" s="4">
        <v>9</v>
      </c>
      <c r="L556" s="4">
        <v>8</v>
      </c>
      <c r="W556" s="4">
        <v>10</v>
      </c>
      <c r="X556" s="4">
        <v>9</v>
      </c>
      <c r="AK556" s="4">
        <v>9</v>
      </c>
      <c r="AL556" s="4">
        <v>9</v>
      </c>
      <c r="AW556" s="4">
        <v>8</v>
      </c>
      <c r="AX556" s="4">
        <v>10</v>
      </c>
      <c r="AY556" s="3" t="s">
        <v>17</v>
      </c>
      <c r="BB556" s="3" t="s">
        <v>18</v>
      </c>
      <c r="BC556" s="3" t="s">
        <v>22</v>
      </c>
      <c r="BD556" s="3" t="s">
        <v>615</v>
      </c>
      <c r="BE556" s="3" t="s">
        <v>619</v>
      </c>
      <c r="BF556" s="3" t="s">
        <v>1266</v>
      </c>
      <c r="BG556" s="3" t="s">
        <v>1267</v>
      </c>
      <c r="BH556" s="3" t="s">
        <v>1268</v>
      </c>
    </row>
    <row r="557" spans="1:60" x14ac:dyDescent="0.3">
      <c r="A557" s="3" t="s">
        <v>1145</v>
      </c>
      <c r="B557" s="3" t="s">
        <v>16</v>
      </c>
      <c r="C557" s="3">
        <v>14</v>
      </c>
      <c r="D557" s="3">
        <v>5</v>
      </c>
      <c r="E557" s="4">
        <v>10</v>
      </c>
      <c r="F557" s="4">
        <v>10</v>
      </c>
      <c r="K557" s="4">
        <v>10</v>
      </c>
      <c r="L557" s="4">
        <v>10</v>
      </c>
      <c r="W557" s="4">
        <v>10</v>
      </c>
      <c r="X557" s="4">
        <v>10</v>
      </c>
      <c r="AK557" s="4">
        <v>8</v>
      </c>
      <c r="AL557" s="4">
        <v>9</v>
      </c>
      <c r="AW557" s="4">
        <v>9</v>
      </c>
      <c r="AX557" s="4">
        <v>8</v>
      </c>
      <c r="AY557" s="3" t="s">
        <v>17</v>
      </c>
      <c r="BB557" s="3" t="s">
        <v>18</v>
      </c>
      <c r="BC557" s="3" t="s">
        <v>22</v>
      </c>
      <c r="BD557" s="3" t="s">
        <v>615</v>
      </c>
      <c r="BE557" s="3" t="s">
        <v>619</v>
      </c>
      <c r="BF557" s="3" t="s">
        <v>86</v>
      </c>
      <c r="BG557" s="3" t="s">
        <v>1269</v>
      </c>
      <c r="BH557" s="3" t="s">
        <v>215</v>
      </c>
    </row>
    <row r="558" spans="1:60" x14ac:dyDescent="0.3">
      <c r="A558" s="3" t="s">
        <v>1145</v>
      </c>
      <c r="B558" s="3" t="s">
        <v>16</v>
      </c>
      <c r="C558" s="3">
        <v>14</v>
      </c>
      <c r="D558" s="3">
        <v>5</v>
      </c>
      <c r="E558" s="4">
        <v>8</v>
      </c>
      <c r="F558" s="4">
        <v>8</v>
      </c>
      <c r="K558" s="4">
        <v>10</v>
      </c>
      <c r="L558" s="4">
        <v>10</v>
      </c>
      <c r="W558" s="4">
        <v>8</v>
      </c>
      <c r="X558" s="4">
        <v>9</v>
      </c>
      <c r="AK558" s="4">
        <v>10</v>
      </c>
      <c r="AL558" s="4">
        <v>10</v>
      </c>
      <c r="AW558" s="4">
        <v>10</v>
      </c>
      <c r="AX558" s="4">
        <v>10</v>
      </c>
      <c r="AY558" s="3" t="s">
        <v>17</v>
      </c>
      <c r="BB558" s="3" t="s">
        <v>18</v>
      </c>
      <c r="BC558" s="3" t="s">
        <v>22</v>
      </c>
      <c r="BD558" s="3" t="s">
        <v>615</v>
      </c>
      <c r="BE558" s="3" t="s">
        <v>623</v>
      </c>
      <c r="BF558" s="3" t="s">
        <v>1270</v>
      </c>
      <c r="BG558" s="3" t="s">
        <v>1271</v>
      </c>
      <c r="BH558" s="3" t="s">
        <v>1272</v>
      </c>
    </row>
    <row r="559" spans="1:60" x14ac:dyDescent="0.3">
      <c r="A559" s="3" t="s">
        <v>1145</v>
      </c>
      <c r="B559" s="3" t="s">
        <v>16</v>
      </c>
      <c r="C559" s="3">
        <v>15</v>
      </c>
      <c r="D559" s="3">
        <v>4</v>
      </c>
      <c r="E559" s="4">
        <v>9</v>
      </c>
      <c r="F559" s="4">
        <v>9</v>
      </c>
      <c r="K559" s="4">
        <v>9</v>
      </c>
      <c r="L559" s="4">
        <v>9</v>
      </c>
      <c r="W559" s="4">
        <v>8</v>
      </c>
      <c r="X559" s="4">
        <v>8</v>
      </c>
      <c r="AK559" s="4">
        <v>7</v>
      </c>
      <c r="AL559" s="4">
        <v>9</v>
      </c>
      <c r="AW559" s="4">
        <v>10</v>
      </c>
      <c r="AX559" s="4">
        <v>10</v>
      </c>
      <c r="AY559" s="3" t="s">
        <v>18</v>
      </c>
      <c r="AZ559" s="3" t="s">
        <v>18</v>
      </c>
      <c r="BD559" s="3" t="s">
        <v>615</v>
      </c>
      <c r="BE559" s="3" t="s">
        <v>623</v>
      </c>
      <c r="BF559" s="3" t="s">
        <v>302</v>
      </c>
      <c r="BG559" s="3" t="s">
        <v>61</v>
      </c>
      <c r="BH559" s="3" t="s">
        <v>1273</v>
      </c>
    </row>
    <row r="560" spans="1:60" x14ac:dyDescent="0.3">
      <c r="A560" s="3" t="s">
        <v>1145</v>
      </c>
      <c r="B560" s="3" t="s">
        <v>26</v>
      </c>
      <c r="C560" s="3">
        <v>14</v>
      </c>
      <c r="D560" s="3">
        <v>5</v>
      </c>
      <c r="E560" s="4">
        <v>10</v>
      </c>
      <c r="F560" s="4">
        <v>10</v>
      </c>
      <c r="K560" s="4">
        <v>10</v>
      </c>
      <c r="L560" s="4">
        <v>10</v>
      </c>
      <c r="W560" s="4">
        <v>10</v>
      </c>
      <c r="X560" s="4">
        <v>10</v>
      </c>
      <c r="AK560" s="4">
        <v>8</v>
      </c>
      <c r="AL560" s="4">
        <v>9</v>
      </c>
      <c r="AW560" s="4">
        <v>9</v>
      </c>
      <c r="AX560" s="4">
        <v>9</v>
      </c>
      <c r="AY560" s="3" t="s">
        <v>17</v>
      </c>
      <c r="BB560" s="3" t="s">
        <v>17</v>
      </c>
      <c r="BC560" s="3" t="s">
        <v>22</v>
      </c>
      <c r="BD560" s="3" t="s">
        <v>656</v>
      </c>
      <c r="BE560" s="3" t="s">
        <v>623</v>
      </c>
      <c r="BF560" s="3" t="s">
        <v>1274</v>
      </c>
      <c r="BG560" s="3" t="s">
        <v>241</v>
      </c>
      <c r="BH560" s="3" t="s">
        <v>241</v>
      </c>
    </row>
    <row r="561" spans="1:60" x14ac:dyDescent="0.3">
      <c r="A561" s="3" t="s">
        <v>1145</v>
      </c>
      <c r="B561" s="3" t="s">
        <v>26</v>
      </c>
      <c r="C561" s="3">
        <v>14</v>
      </c>
      <c r="D561" s="3">
        <v>5</v>
      </c>
      <c r="E561" s="4">
        <v>10</v>
      </c>
      <c r="F561" s="4">
        <v>10</v>
      </c>
      <c r="K561" s="4">
        <v>10</v>
      </c>
      <c r="L561" s="4">
        <v>10</v>
      </c>
      <c r="W561" s="4">
        <v>10</v>
      </c>
      <c r="X561" s="4">
        <v>10</v>
      </c>
      <c r="AK561" s="4">
        <v>10</v>
      </c>
      <c r="AL561" s="4">
        <v>10</v>
      </c>
      <c r="AW561" s="4">
        <v>10</v>
      </c>
      <c r="AX561" s="4">
        <v>10</v>
      </c>
      <c r="AY561" s="3" t="s">
        <v>22</v>
      </c>
      <c r="AZ561" s="3" t="s">
        <v>18</v>
      </c>
      <c r="BA561" s="3" t="s">
        <v>1275</v>
      </c>
      <c r="BD561" s="3" t="s">
        <v>656</v>
      </c>
      <c r="BE561" s="3" t="s">
        <v>619</v>
      </c>
      <c r="BF561" s="3" t="s">
        <v>1276</v>
      </c>
      <c r="BG561" s="3" t="s">
        <v>1277</v>
      </c>
      <c r="BH561" s="3" t="s">
        <v>967</v>
      </c>
    </row>
    <row r="562" spans="1:60" x14ac:dyDescent="0.3">
      <c r="A562" s="3" t="s">
        <v>1145</v>
      </c>
      <c r="B562" s="3" t="s">
        <v>26</v>
      </c>
      <c r="C562" s="3">
        <v>14</v>
      </c>
      <c r="D562" s="3">
        <v>5</v>
      </c>
      <c r="E562" s="4">
        <v>10</v>
      </c>
      <c r="F562" s="4">
        <v>10</v>
      </c>
      <c r="K562" s="4">
        <v>10</v>
      </c>
      <c r="L562" s="4">
        <v>10</v>
      </c>
      <c r="W562" s="4">
        <v>8</v>
      </c>
      <c r="X562" s="4">
        <v>9</v>
      </c>
      <c r="AK562" s="4">
        <v>10</v>
      </c>
      <c r="AL562" s="4">
        <v>10</v>
      </c>
      <c r="AW562" s="4">
        <v>10</v>
      </c>
      <c r="AX562" s="4">
        <v>10</v>
      </c>
      <c r="AY562" s="3" t="s">
        <v>22</v>
      </c>
      <c r="AZ562" s="3" t="s">
        <v>22</v>
      </c>
      <c r="BD562" s="3" t="s">
        <v>656</v>
      </c>
      <c r="BE562" s="3" t="s">
        <v>623</v>
      </c>
      <c r="BF562" s="3" t="s">
        <v>1278</v>
      </c>
      <c r="BG562" s="3" t="s">
        <v>28</v>
      </c>
      <c r="BH562" s="3" t="s">
        <v>1279</v>
      </c>
    </row>
    <row r="563" spans="1:60" x14ac:dyDescent="0.3">
      <c r="A563" s="3" t="s">
        <v>1145</v>
      </c>
      <c r="B563" s="3" t="s">
        <v>26</v>
      </c>
      <c r="C563" s="3">
        <v>17</v>
      </c>
      <c r="D563" s="3">
        <v>4</v>
      </c>
      <c r="E563" s="4">
        <v>9</v>
      </c>
      <c r="F563" s="4">
        <v>9</v>
      </c>
      <c r="K563" s="4">
        <v>9</v>
      </c>
      <c r="L563" s="4">
        <v>9</v>
      </c>
      <c r="Q563" s="4">
        <v>9</v>
      </c>
      <c r="R563" s="4">
        <v>10</v>
      </c>
      <c r="AA563" s="4">
        <v>9</v>
      </c>
      <c r="AB563" s="4">
        <v>8</v>
      </c>
      <c r="AC563" s="4">
        <v>9</v>
      </c>
      <c r="AD563" s="4">
        <v>9</v>
      </c>
      <c r="AW563" s="4">
        <v>9</v>
      </c>
      <c r="AX563" s="4">
        <v>10</v>
      </c>
      <c r="AY563" s="3" t="s">
        <v>17</v>
      </c>
      <c r="BB563" s="3" t="s">
        <v>22</v>
      </c>
      <c r="BC563" s="3" t="s">
        <v>22</v>
      </c>
      <c r="BD563" s="3" t="s">
        <v>618</v>
      </c>
      <c r="BE563" s="3" t="s">
        <v>623</v>
      </c>
      <c r="BF563" s="3" t="s">
        <v>1280</v>
      </c>
      <c r="BG563" s="3" t="s">
        <v>1281</v>
      </c>
    </row>
    <row r="564" spans="1:60" x14ac:dyDescent="0.3">
      <c r="A564" s="3" t="s">
        <v>1145</v>
      </c>
      <c r="B564" s="3" t="s">
        <v>16</v>
      </c>
      <c r="C564" s="3">
        <v>16</v>
      </c>
      <c r="D564" s="3">
        <v>4</v>
      </c>
      <c r="E564" s="4">
        <v>10</v>
      </c>
      <c r="F564" s="4">
        <v>10</v>
      </c>
      <c r="K564" s="4">
        <v>10</v>
      </c>
      <c r="L564" s="4">
        <v>10</v>
      </c>
      <c r="Q564" s="4">
        <v>10</v>
      </c>
      <c r="R564" s="4">
        <v>10</v>
      </c>
      <c r="AA564" s="4">
        <v>10</v>
      </c>
      <c r="AB564" s="4">
        <v>10</v>
      </c>
      <c r="AC564" s="4">
        <v>10</v>
      </c>
      <c r="AD564" s="4">
        <v>10</v>
      </c>
      <c r="AW564" s="4">
        <v>10</v>
      </c>
      <c r="AX564" s="4">
        <v>10</v>
      </c>
      <c r="AY564" s="3" t="s">
        <v>18</v>
      </c>
      <c r="AZ564" s="3" t="s">
        <v>18</v>
      </c>
      <c r="BD564" s="3" t="s">
        <v>618</v>
      </c>
      <c r="BE564" s="3" t="s">
        <v>619</v>
      </c>
      <c r="BF564" s="3" t="s">
        <v>1282</v>
      </c>
      <c r="BG564" s="3" t="s">
        <v>1283</v>
      </c>
    </row>
    <row r="565" spans="1:60" x14ac:dyDescent="0.3">
      <c r="A565" s="3" t="s">
        <v>1145</v>
      </c>
      <c r="B565" s="3" t="s">
        <v>16</v>
      </c>
      <c r="C565" s="3">
        <v>16</v>
      </c>
      <c r="D565" s="3">
        <v>4</v>
      </c>
      <c r="E565" s="4">
        <v>8</v>
      </c>
      <c r="F565" s="4">
        <v>8</v>
      </c>
      <c r="K565" s="4">
        <v>10</v>
      </c>
      <c r="L565" s="4">
        <v>10</v>
      </c>
      <c r="Q565" s="4">
        <v>8</v>
      </c>
      <c r="R565" s="4">
        <v>8</v>
      </c>
      <c r="AA565" s="4">
        <v>10</v>
      </c>
      <c r="AB565" s="4">
        <v>10</v>
      </c>
      <c r="AC565" s="4">
        <v>8</v>
      </c>
      <c r="AD565" s="4">
        <v>8</v>
      </c>
      <c r="AW565" s="4">
        <v>9</v>
      </c>
      <c r="AX565" s="4">
        <v>8</v>
      </c>
      <c r="AY565" s="3" t="s">
        <v>18</v>
      </c>
      <c r="AZ565" s="3" t="s">
        <v>18</v>
      </c>
      <c r="BD565" s="3" t="s">
        <v>618</v>
      </c>
      <c r="BE565" s="3" t="s">
        <v>623</v>
      </c>
      <c r="BF565" s="3" t="s">
        <v>1284</v>
      </c>
      <c r="BG565" s="3" t="s">
        <v>1285</v>
      </c>
      <c r="BH565" s="3" t="s">
        <v>1286</v>
      </c>
    </row>
    <row r="566" spans="1:60" x14ac:dyDescent="0.3">
      <c r="A566" s="3" t="s">
        <v>1145</v>
      </c>
      <c r="B566" s="3" t="s">
        <v>16</v>
      </c>
      <c r="C566" s="3">
        <v>15</v>
      </c>
      <c r="D566" s="3">
        <v>4</v>
      </c>
      <c r="E566" s="4">
        <v>8</v>
      </c>
      <c r="F566" s="4">
        <v>6</v>
      </c>
      <c r="K566" s="4">
        <v>10</v>
      </c>
      <c r="L566" s="4">
        <v>9</v>
      </c>
      <c r="Q566" s="4">
        <v>3</v>
      </c>
      <c r="R566" s="4">
        <v>3</v>
      </c>
      <c r="AA566" s="4">
        <v>4</v>
      </c>
      <c r="AB566" s="4">
        <v>2</v>
      </c>
      <c r="AC566" s="4">
        <v>8</v>
      </c>
      <c r="AD566" s="4">
        <v>6</v>
      </c>
      <c r="AW566" s="4">
        <v>6</v>
      </c>
      <c r="AX566" s="4">
        <v>3</v>
      </c>
      <c r="AY566" s="3" t="s">
        <v>18</v>
      </c>
      <c r="AZ566" s="3" t="s">
        <v>17</v>
      </c>
      <c r="BD566" s="3" t="s">
        <v>618</v>
      </c>
      <c r="BE566" s="3" t="s">
        <v>619</v>
      </c>
      <c r="BF566" s="3" t="s">
        <v>1287</v>
      </c>
      <c r="BG566" s="3" t="s">
        <v>1288</v>
      </c>
    </row>
    <row r="567" spans="1:60" x14ac:dyDescent="0.3">
      <c r="A567" s="3" t="s">
        <v>1145</v>
      </c>
      <c r="B567" s="3" t="s">
        <v>26</v>
      </c>
      <c r="C567" s="3">
        <v>16</v>
      </c>
      <c r="D567" s="3">
        <v>5</v>
      </c>
      <c r="E567" s="4">
        <v>10</v>
      </c>
      <c r="F567" s="4">
        <v>10</v>
      </c>
      <c r="K567" s="4">
        <v>10</v>
      </c>
      <c r="L567" s="4">
        <v>10</v>
      </c>
      <c r="Q567" s="4">
        <v>10</v>
      </c>
      <c r="R567" s="4">
        <v>10</v>
      </c>
      <c r="AA567" s="4">
        <v>10</v>
      </c>
      <c r="AB567" s="4">
        <v>10</v>
      </c>
      <c r="AC567" s="4">
        <v>10</v>
      </c>
      <c r="AD567" s="4">
        <v>10</v>
      </c>
      <c r="AW567" s="4">
        <v>10</v>
      </c>
      <c r="AX567" s="4">
        <v>10</v>
      </c>
      <c r="AY567" s="3" t="s">
        <v>17</v>
      </c>
      <c r="BB567" s="3" t="s">
        <v>17</v>
      </c>
      <c r="BC567" s="3" t="s">
        <v>17</v>
      </c>
      <c r="BD567" s="3" t="s">
        <v>615</v>
      </c>
      <c r="BE567" s="3" t="s">
        <v>616</v>
      </c>
      <c r="BF567" s="3" t="s">
        <v>28</v>
      </c>
      <c r="BG567" s="3" t="s">
        <v>147</v>
      </c>
      <c r="BH567" s="3" t="s">
        <v>647</v>
      </c>
    </row>
    <row r="568" spans="1:60" x14ac:dyDescent="0.3">
      <c r="A568" s="3" t="s">
        <v>1145</v>
      </c>
      <c r="B568" s="3" t="s">
        <v>16</v>
      </c>
      <c r="C568" s="3">
        <v>15</v>
      </c>
      <c r="D568" s="3">
        <v>5</v>
      </c>
      <c r="E568" s="4">
        <v>9</v>
      </c>
      <c r="F568" s="4">
        <v>9</v>
      </c>
      <c r="K568" s="4">
        <v>10</v>
      </c>
      <c r="L568" s="4">
        <v>10</v>
      </c>
      <c r="Q568" s="4">
        <v>9</v>
      </c>
      <c r="R568" s="4">
        <v>9</v>
      </c>
      <c r="AA568" s="4">
        <v>9</v>
      </c>
      <c r="AB568" s="4">
        <v>9</v>
      </c>
      <c r="AC568" s="4">
        <v>9</v>
      </c>
      <c r="AD568" s="4">
        <v>9</v>
      </c>
      <c r="AW568" s="4">
        <v>8</v>
      </c>
      <c r="AX568" s="4">
        <v>9</v>
      </c>
      <c r="AY568" s="3" t="s">
        <v>18</v>
      </c>
      <c r="AZ568" s="3" t="s">
        <v>18</v>
      </c>
      <c r="BD568" s="3" t="s">
        <v>615</v>
      </c>
      <c r="BE568" s="3" t="s">
        <v>619</v>
      </c>
      <c r="BF568" s="3" t="s">
        <v>1289</v>
      </c>
      <c r="BG568" s="3" t="s">
        <v>1290</v>
      </c>
    </row>
    <row r="569" spans="1:60" x14ac:dyDescent="0.3">
      <c r="A569" s="3" t="s">
        <v>1145</v>
      </c>
      <c r="B569" s="3" t="s">
        <v>16</v>
      </c>
      <c r="C569" s="3">
        <v>16</v>
      </c>
      <c r="D569" s="3">
        <v>2</v>
      </c>
      <c r="E569" s="4">
        <v>5</v>
      </c>
      <c r="F569" s="4">
        <v>6</v>
      </c>
      <c r="K569" s="4">
        <v>5</v>
      </c>
      <c r="L569" s="4">
        <v>9</v>
      </c>
      <c r="Q569" s="4">
        <v>2</v>
      </c>
      <c r="R569" s="4">
        <v>5</v>
      </c>
      <c r="AA569" s="4">
        <v>2</v>
      </c>
      <c r="AB569" s="4">
        <v>3</v>
      </c>
      <c r="AC569" s="4">
        <v>5</v>
      </c>
      <c r="AD569" s="4">
        <v>6</v>
      </c>
      <c r="AW569" s="4">
        <v>1</v>
      </c>
      <c r="AX569" s="4">
        <v>2</v>
      </c>
      <c r="AY569" s="3" t="s">
        <v>22</v>
      </c>
      <c r="AZ569" s="3" t="s">
        <v>17</v>
      </c>
      <c r="BA569" s="3" t="s">
        <v>1291</v>
      </c>
      <c r="BD569" s="3" t="s">
        <v>656</v>
      </c>
      <c r="BE569" s="3" t="s">
        <v>619</v>
      </c>
      <c r="BF569" s="3" t="s">
        <v>74</v>
      </c>
      <c r="BG569" s="3" t="s">
        <v>1292</v>
      </c>
      <c r="BH569" s="3" t="s">
        <v>1293</v>
      </c>
    </row>
    <row r="570" spans="1:60" x14ac:dyDescent="0.3">
      <c r="A570" s="3" t="s">
        <v>1145</v>
      </c>
      <c r="B570" s="3" t="s">
        <v>16</v>
      </c>
      <c r="C570" s="3">
        <v>16</v>
      </c>
      <c r="D570" s="3">
        <v>5</v>
      </c>
      <c r="E570" s="4">
        <v>10</v>
      </c>
      <c r="F570" s="4">
        <v>10</v>
      </c>
      <c r="I570" s="4">
        <v>8</v>
      </c>
      <c r="J570" s="4">
        <v>9</v>
      </c>
      <c r="K570" s="4">
        <v>10</v>
      </c>
      <c r="L570" s="4">
        <v>10</v>
      </c>
      <c r="S570" s="4">
        <v>8</v>
      </c>
      <c r="T570" s="4">
        <v>8</v>
      </c>
      <c r="AW570" s="4">
        <v>5</v>
      </c>
      <c r="AX570" s="4">
        <v>6</v>
      </c>
      <c r="AY570" s="3" t="s">
        <v>17</v>
      </c>
      <c r="BB570" s="3" t="s">
        <v>17</v>
      </c>
      <c r="BC570" s="3" t="s">
        <v>22</v>
      </c>
      <c r="BD570" s="3" t="s">
        <v>615</v>
      </c>
      <c r="BE570" s="3" t="s">
        <v>619</v>
      </c>
      <c r="BF570" s="3" t="s">
        <v>86</v>
      </c>
      <c r="BG570" s="3" t="s">
        <v>1294</v>
      </c>
      <c r="BH570" s="3" t="s">
        <v>1295</v>
      </c>
    </row>
    <row r="571" spans="1:60" x14ac:dyDescent="0.3">
      <c r="A571" s="3" t="s">
        <v>1145</v>
      </c>
      <c r="B571" s="3" t="s">
        <v>26</v>
      </c>
      <c r="C571" s="3">
        <v>16</v>
      </c>
      <c r="D571" s="3">
        <v>4</v>
      </c>
      <c r="E571" s="4">
        <v>6</v>
      </c>
      <c r="F571" s="4">
        <v>7</v>
      </c>
      <c r="I571" s="4">
        <v>7</v>
      </c>
      <c r="J571" s="4">
        <v>6</v>
      </c>
      <c r="K571" s="4">
        <v>7</v>
      </c>
      <c r="L571" s="4">
        <v>7</v>
      </c>
      <c r="S571" s="4">
        <v>7</v>
      </c>
      <c r="T571" s="4">
        <v>7</v>
      </c>
      <c r="AW571" s="4">
        <v>6</v>
      </c>
      <c r="AX571" s="4">
        <v>7</v>
      </c>
      <c r="AY571" s="3" t="s">
        <v>18</v>
      </c>
      <c r="AZ571" s="3" t="s">
        <v>18</v>
      </c>
      <c r="BD571" s="3" t="s">
        <v>618</v>
      </c>
      <c r="BE571" s="3" t="s">
        <v>623</v>
      </c>
      <c r="BF571" s="3" t="s">
        <v>147</v>
      </c>
      <c r="BG571" s="3" t="s">
        <v>28</v>
      </c>
    </row>
    <row r="572" spans="1:60" x14ac:dyDescent="0.3">
      <c r="A572" s="3" t="s">
        <v>1145</v>
      </c>
      <c r="B572" s="3" t="s">
        <v>26</v>
      </c>
      <c r="C572" s="3">
        <v>16</v>
      </c>
      <c r="D572" s="3">
        <v>4</v>
      </c>
      <c r="E572" s="4">
        <v>9</v>
      </c>
      <c r="F572" s="4">
        <v>9</v>
      </c>
      <c r="I572" s="4">
        <v>10</v>
      </c>
      <c r="J572" s="4">
        <v>10</v>
      </c>
      <c r="K572" s="4">
        <v>7</v>
      </c>
      <c r="L572" s="4">
        <v>5</v>
      </c>
      <c r="S572" s="4">
        <v>10</v>
      </c>
      <c r="T572" s="4">
        <v>8</v>
      </c>
      <c r="AW572" s="4">
        <v>6</v>
      </c>
      <c r="AX572" s="4">
        <v>7</v>
      </c>
      <c r="AY572" s="3" t="s">
        <v>17</v>
      </c>
      <c r="BB572" s="3" t="s">
        <v>17</v>
      </c>
      <c r="BC572" s="3" t="s">
        <v>17</v>
      </c>
      <c r="BD572" s="3" t="s">
        <v>615</v>
      </c>
      <c r="BE572" s="3" t="s">
        <v>619</v>
      </c>
      <c r="BF572" s="3" t="s">
        <v>1296</v>
      </c>
      <c r="BG572" s="3" t="s">
        <v>1297</v>
      </c>
      <c r="BH572" s="3" t="s">
        <v>1298</v>
      </c>
    </row>
    <row r="573" spans="1:60" x14ac:dyDescent="0.3">
      <c r="A573" s="3" t="s">
        <v>1145</v>
      </c>
      <c r="B573" s="3" t="s">
        <v>26</v>
      </c>
      <c r="C573" s="3">
        <v>17</v>
      </c>
      <c r="D573" s="3">
        <v>4</v>
      </c>
      <c r="E573" s="4">
        <v>8</v>
      </c>
      <c r="F573" s="4">
        <v>7</v>
      </c>
      <c r="I573" s="4">
        <v>8</v>
      </c>
      <c r="J573" s="4">
        <v>6</v>
      </c>
      <c r="K573" s="4">
        <v>8</v>
      </c>
      <c r="L573" s="4">
        <v>5</v>
      </c>
      <c r="S573" s="4">
        <v>8</v>
      </c>
      <c r="T573" s="4">
        <v>6</v>
      </c>
      <c r="AW573" s="4">
        <v>7</v>
      </c>
      <c r="AX573" s="4">
        <v>6</v>
      </c>
      <c r="AY573" s="3" t="s">
        <v>17</v>
      </c>
      <c r="BB573" s="3" t="s">
        <v>17</v>
      </c>
      <c r="BC573" s="3" t="s">
        <v>22</v>
      </c>
      <c r="BD573" s="3" t="s">
        <v>615</v>
      </c>
      <c r="BE573" s="3" t="s">
        <v>619</v>
      </c>
      <c r="BF573" s="3" t="s">
        <v>48</v>
      </c>
      <c r="BG573" s="3" t="s">
        <v>1299</v>
      </c>
    </row>
    <row r="574" spans="1:60" x14ac:dyDescent="0.3">
      <c r="A574" s="3" t="s">
        <v>1145</v>
      </c>
      <c r="B574" s="3" t="s">
        <v>26</v>
      </c>
      <c r="C574" s="3">
        <v>17</v>
      </c>
      <c r="D574" s="3">
        <v>4</v>
      </c>
      <c r="E574" s="4">
        <v>8</v>
      </c>
      <c r="F574" s="4">
        <v>6</v>
      </c>
      <c r="I574" s="4">
        <v>10</v>
      </c>
      <c r="J574" s="4">
        <v>10</v>
      </c>
      <c r="K574" s="4">
        <v>9</v>
      </c>
      <c r="L574" s="4">
        <v>6</v>
      </c>
      <c r="S574" s="4">
        <v>9</v>
      </c>
      <c r="T574" s="4">
        <v>9</v>
      </c>
      <c r="AW574" s="4">
        <v>10</v>
      </c>
      <c r="AX574" s="4">
        <v>10</v>
      </c>
      <c r="AY574" s="3" t="s">
        <v>22</v>
      </c>
      <c r="AZ574" s="3" t="s">
        <v>22</v>
      </c>
      <c r="BD574" s="3" t="s">
        <v>618</v>
      </c>
      <c r="BE574" s="3" t="s">
        <v>623</v>
      </c>
      <c r="BF574" s="3" t="s">
        <v>193</v>
      </c>
      <c r="BG574" s="3" t="s">
        <v>1300</v>
      </c>
      <c r="BH574" s="3" t="s">
        <v>247</v>
      </c>
    </row>
    <row r="575" spans="1:60" x14ac:dyDescent="0.3">
      <c r="A575" s="3" t="s">
        <v>1145</v>
      </c>
      <c r="B575" s="3" t="s">
        <v>26</v>
      </c>
      <c r="C575" s="3">
        <v>16</v>
      </c>
      <c r="D575" s="3">
        <v>5</v>
      </c>
      <c r="E575" s="4">
        <v>10</v>
      </c>
      <c r="F575" s="4">
        <v>10</v>
      </c>
      <c r="I575" s="4">
        <v>10</v>
      </c>
      <c r="J575" s="4">
        <v>10</v>
      </c>
      <c r="K575" s="4">
        <v>10</v>
      </c>
      <c r="L575" s="4">
        <v>10</v>
      </c>
      <c r="S575" s="4">
        <v>10</v>
      </c>
      <c r="T575" s="4">
        <v>10</v>
      </c>
      <c r="AW575" s="4">
        <v>9</v>
      </c>
      <c r="AX575" s="4">
        <v>7</v>
      </c>
      <c r="AY575" s="3" t="s">
        <v>22</v>
      </c>
      <c r="AZ575" s="3" t="s">
        <v>17</v>
      </c>
      <c r="BD575" s="3" t="s">
        <v>656</v>
      </c>
      <c r="BE575" s="3" t="s">
        <v>619</v>
      </c>
      <c r="BF575" s="3" t="s">
        <v>1301</v>
      </c>
      <c r="BG575" s="3" t="s">
        <v>1302</v>
      </c>
      <c r="BH575" s="3" t="s">
        <v>1303</v>
      </c>
    </row>
    <row r="576" spans="1:60" x14ac:dyDescent="0.3">
      <c r="A576" s="3" t="s">
        <v>1145</v>
      </c>
      <c r="B576" s="3" t="s">
        <v>16</v>
      </c>
      <c r="C576" s="3">
        <v>16</v>
      </c>
      <c r="D576" s="3">
        <v>4</v>
      </c>
      <c r="E576" s="4">
        <v>8</v>
      </c>
      <c r="F576" s="4">
        <v>9</v>
      </c>
      <c r="I576" s="4">
        <v>7</v>
      </c>
      <c r="J576" s="4">
        <v>7</v>
      </c>
      <c r="K576" s="4">
        <v>8</v>
      </c>
      <c r="L576" s="4">
        <v>9</v>
      </c>
      <c r="S576" s="4">
        <v>8</v>
      </c>
      <c r="T576" s="4">
        <v>8</v>
      </c>
      <c r="AW576" s="4">
        <v>8</v>
      </c>
      <c r="AX576" s="4">
        <v>6</v>
      </c>
      <c r="AY576" s="3" t="s">
        <v>18</v>
      </c>
      <c r="AZ576" s="3" t="s">
        <v>22</v>
      </c>
      <c r="BD576" s="3" t="s">
        <v>618</v>
      </c>
      <c r="BE576" s="3" t="s">
        <v>619</v>
      </c>
      <c r="BF576" s="3" t="s">
        <v>1304</v>
      </c>
      <c r="BG576" s="3" t="s">
        <v>1305</v>
      </c>
    </row>
    <row r="577" spans="1:60" x14ac:dyDescent="0.3">
      <c r="A577" s="3" t="s">
        <v>1145</v>
      </c>
      <c r="B577" s="3" t="s">
        <v>16</v>
      </c>
      <c r="C577" s="3">
        <v>17</v>
      </c>
      <c r="D577" s="3">
        <v>4</v>
      </c>
      <c r="E577" s="4">
        <v>9</v>
      </c>
      <c r="F577" s="4">
        <v>9</v>
      </c>
      <c r="I577" s="4">
        <v>6</v>
      </c>
      <c r="J577" s="4">
        <v>7</v>
      </c>
      <c r="K577" s="4">
        <v>9</v>
      </c>
      <c r="L577" s="4">
        <v>6</v>
      </c>
      <c r="S577" s="4">
        <v>7</v>
      </c>
      <c r="T577" s="4">
        <v>7</v>
      </c>
      <c r="AW577" s="4">
        <v>7</v>
      </c>
      <c r="AX577" s="4">
        <v>8</v>
      </c>
      <c r="AY577" s="3" t="s">
        <v>18</v>
      </c>
      <c r="AZ577" s="3" t="s">
        <v>22</v>
      </c>
      <c r="BD577" s="3" t="s">
        <v>618</v>
      </c>
      <c r="BE577" s="3" t="s">
        <v>623</v>
      </c>
      <c r="BF577" s="3" t="s">
        <v>1304</v>
      </c>
      <c r="BG577" s="3" t="s">
        <v>1306</v>
      </c>
    </row>
    <row r="578" spans="1:60" x14ac:dyDescent="0.3">
      <c r="A578" s="3" t="s">
        <v>1145</v>
      </c>
      <c r="B578" s="3" t="s">
        <v>26</v>
      </c>
      <c r="C578" s="3">
        <v>17</v>
      </c>
      <c r="D578" s="3">
        <v>5</v>
      </c>
      <c r="E578" s="4">
        <v>9</v>
      </c>
      <c r="F578" s="4">
        <v>7</v>
      </c>
      <c r="I578" s="4">
        <v>10</v>
      </c>
      <c r="J578" s="4">
        <v>10</v>
      </c>
      <c r="K578" s="4">
        <v>8</v>
      </c>
      <c r="L578" s="4">
        <v>7</v>
      </c>
      <c r="S578" s="4">
        <v>10</v>
      </c>
      <c r="T578" s="4">
        <v>10</v>
      </c>
      <c r="AW578" s="4">
        <v>9</v>
      </c>
      <c r="AX578" s="4">
        <v>7</v>
      </c>
      <c r="AY578" s="3" t="s">
        <v>22</v>
      </c>
      <c r="AZ578" s="3" t="s">
        <v>22</v>
      </c>
      <c r="BA578" s="3" t="s">
        <v>1307</v>
      </c>
      <c r="BD578" s="3" t="s">
        <v>656</v>
      </c>
      <c r="BE578" s="3" t="s">
        <v>623</v>
      </c>
      <c r="BF578" s="3" t="s">
        <v>1308</v>
      </c>
      <c r="BG578" s="3" t="s">
        <v>1309</v>
      </c>
      <c r="BH578" s="3" t="s">
        <v>1310</v>
      </c>
    </row>
    <row r="579" spans="1:60" x14ac:dyDescent="0.3">
      <c r="A579" s="3" t="s">
        <v>1145</v>
      </c>
      <c r="B579" s="3" t="s">
        <v>26</v>
      </c>
      <c r="C579" s="3">
        <v>17</v>
      </c>
      <c r="D579" s="3">
        <v>4</v>
      </c>
      <c r="E579" s="4">
        <v>10</v>
      </c>
      <c r="F579" s="4">
        <v>9</v>
      </c>
      <c r="I579" s="4">
        <v>10</v>
      </c>
      <c r="J579" s="4">
        <v>10</v>
      </c>
      <c r="K579" s="4">
        <v>10</v>
      </c>
      <c r="L579" s="4">
        <v>8</v>
      </c>
      <c r="S579" s="4">
        <v>10</v>
      </c>
      <c r="T579" s="4">
        <v>10</v>
      </c>
      <c r="AW579" s="4">
        <v>10</v>
      </c>
      <c r="AX579" s="4">
        <v>10</v>
      </c>
      <c r="AY579" s="3" t="s">
        <v>22</v>
      </c>
      <c r="AZ579" s="3" t="s">
        <v>17</v>
      </c>
      <c r="BD579" s="3" t="s">
        <v>656</v>
      </c>
      <c r="BE579" s="3" t="s">
        <v>623</v>
      </c>
      <c r="BF579" s="3" t="s">
        <v>481</v>
      </c>
      <c r="BG579" s="3" t="s">
        <v>1311</v>
      </c>
    </row>
    <row r="580" spans="1:60" x14ac:dyDescent="0.3">
      <c r="A580" s="3" t="s">
        <v>1145</v>
      </c>
      <c r="B580" s="3" t="s">
        <v>26</v>
      </c>
      <c r="C580" s="3">
        <v>16</v>
      </c>
      <c r="D580" s="3">
        <v>4</v>
      </c>
      <c r="E580" s="4">
        <v>8</v>
      </c>
      <c r="F580" s="4">
        <v>10</v>
      </c>
      <c r="I580" s="4">
        <v>10</v>
      </c>
      <c r="J580" s="4">
        <v>10</v>
      </c>
      <c r="K580" s="4">
        <v>6</v>
      </c>
      <c r="L580" s="4">
        <v>10</v>
      </c>
      <c r="S580" s="4">
        <v>5</v>
      </c>
      <c r="T580" s="4">
        <v>8</v>
      </c>
      <c r="AW580" s="4">
        <v>7</v>
      </c>
      <c r="AX580" s="4">
        <v>10</v>
      </c>
      <c r="AY580" s="3" t="s">
        <v>18</v>
      </c>
      <c r="AZ580" s="3" t="s">
        <v>18</v>
      </c>
      <c r="BD580" s="3" t="s">
        <v>618</v>
      </c>
      <c r="BE580" s="3" t="s">
        <v>619</v>
      </c>
      <c r="BF580" s="3" t="s">
        <v>142</v>
      </c>
      <c r="BG580" s="3" t="s">
        <v>1312</v>
      </c>
      <c r="BH580" s="3" t="s">
        <v>1313</v>
      </c>
    </row>
    <row r="581" spans="1:60" x14ac:dyDescent="0.3">
      <c r="A581" s="3" t="s">
        <v>1145</v>
      </c>
      <c r="B581" s="3" t="s">
        <v>26</v>
      </c>
      <c r="C581" s="3">
        <v>16</v>
      </c>
      <c r="D581" s="3">
        <v>4</v>
      </c>
      <c r="E581" s="4">
        <v>9</v>
      </c>
      <c r="F581" s="4">
        <v>10</v>
      </c>
      <c r="I581" s="4">
        <v>10</v>
      </c>
      <c r="J581" s="4">
        <v>10</v>
      </c>
      <c r="K581" s="4">
        <v>8</v>
      </c>
      <c r="L581" s="4">
        <v>10</v>
      </c>
      <c r="S581" s="4">
        <v>10</v>
      </c>
      <c r="T581" s="4">
        <v>10</v>
      </c>
      <c r="AW581" s="4">
        <v>7</v>
      </c>
      <c r="AX581" s="4">
        <v>5</v>
      </c>
      <c r="AY581" s="3" t="s">
        <v>17</v>
      </c>
      <c r="BB581" s="3" t="s">
        <v>17</v>
      </c>
      <c r="BC581" s="3" t="s">
        <v>22</v>
      </c>
      <c r="BD581" s="3" t="s">
        <v>615</v>
      </c>
      <c r="BE581" s="3" t="s">
        <v>619</v>
      </c>
      <c r="BF581" s="3" t="s">
        <v>1314</v>
      </c>
      <c r="BG581" s="3" t="s">
        <v>1315</v>
      </c>
    </row>
    <row r="582" spans="1:60" x14ac:dyDescent="0.3">
      <c r="A582" s="3" t="s">
        <v>1145</v>
      </c>
      <c r="B582" s="3" t="s">
        <v>26</v>
      </c>
      <c r="C582" s="3">
        <v>17</v>
      </c>
      <c r="D582" s="3">
        <v>4</v>
      </c>
      <c r="E582" s="4">
        <v>8</v>
      </c>
      <c r="F582" s="4">
        <v>8</v>
      </c>
      <c r="I582" s="4">
        <v>7</v>
      </c>
      <c r="J582" s="4">
        <v>6</v>
      </c>
      <c r="K582" s="4">
        <v>8</v>
      </c>
      <c r="L582" s="4">
        <v>8</v>
      </c>
      <c r="S582" s="4">
        <v>7</v>
      </c>
      <c r="T582" s="4">
        <v>7</v>
      </c>
      <c r="AW582" s="4">
        <v>8</v>
      </c>
      <c r="AX582" s="4">
        <v>8</v>
      </c>
      <c r="AY582" s="3" t="s">
        <v>18</v>
      </c>
      <c r="AZ582" s="3" t="s">
        <v>18</v>
      </c>
      <c r="BA582" s="3" t="s">
        <v>1316</v>
      </c>
      <c r="BD582" s="3" t="s">
        <v>618</v>
      </c>
      <c r="BE582" s="3" t="s">
        <v>619</v>
      </c>
      <c r="BF582" s="3" t="s">
        <v>1317</v>
      </c>
      <c r="BG582" s="3" t="s">
        <v>1318</v>
      </c>
      <c r="BH582" s="3" t="s">
        <v>1319</v>
      </c>
    </row>
    <row r="583" spans="1:60" x14ac:dyDescent="0.3">
      <c r="A583" s="3" t="s">
        <v>1145</v>
      </c>
      <c r="B583" s="3" t="s">
        <v>26</v>
      </c>
      <c r="C583" s="3">
        <v>16</v>
      </c>
      <c r="D583" s="3">
        <v>4</v>
      </c>
      <c r="E583" s="4">
        <v>8</v>
      </c>
      <c r="F583" s="4">
        <v>8</v>
      </c>
      <c r="I583" s="4">
        <v>8</v>
      </c>
      <c r="J583" s="4">
        <v>7</v>
      </c>
      <c r="K583" s="4">
        <v>7</v>
      </c>
      <c r="L583" s="4">
        <v>8</v>
      </c>
      <c r="S583" s="4">
        <v>9</v>
      </c>
      <c r="T583" s="4">
        <v>9</v>
      </c>
      <c r="AW583" s="4">
        <v>8</v>
      </c>
      <c r="AX583" s="4">
        <v>7</v>
      </c>
      <c r="AY583" s="3" t="s">
        <v>22</v>
      </c>
      <c r="AZ583" s="3" t="s">
        <v>22</v>
      </c>
      <c r="BD583" s="3" t="s">
        <v>618</v>
      </c>
      <c r="BE583" s="3" t="s">
        <v>623</v>
      </c>
      <c r="BF583" s="3" t="s">
        <v>870</v>
      </c>
      <c r="BG583" s="3" t="s">
        <v>1320</v>
      </c>
    </row>
    <row r="584" spans="1:60" x14ac:dyDescent="0.3">
      <c r="A584" s="3" t="s">
        <v>1145</v>
      </c>
      <c r="B584" s="3" t="s">
        <v>26</v>
      </c>
      <c r="C584" s="3">
        <v>15</v>
      </c>
      <c r="D584" s="3">
        <v>5</v>
      </c>
      <c r="E584" s="4">
        <v>10</v>
      </c>
      <c r="F584" s="4">
        <v>10</v>
      </c>
      <c r="I584" s="4">
        <v>10</v>
      </c>
      <c r="J584" s="4">
        <v>10</v>
      </c>
      <c r="K584" s="4">
        <v>10</v>
      </c>
      <c r="L584" s="4">
        <v>10</v>
      </c>
      <c r="S584" s="4">
        <v>10</v>
      </c>
      <c r="T584" s="4">
        <v>10</v>
      </c>
      <c r="AW584" s="4">
        <v>10</v>
      </c>
      <c r="AX584" s="4">
        <v>10</v>
      </c>
      <c r="AY584" s="3" t="s">
        <v>17</v>
      </c>
      <c r="BB584" s="3" t="s">
        <v>18</v>
      </c>
      <c r="BC584" s="3" t="s">
        <v>22</v>
      </c>
      <c r="BD584" s="3" t="s">
        <v>615</v>
      </c>
      <c r="BE584" s="3" t="s">
        <v>619</v>
      </c>
      <c r="BF584" s="3" t="s">
        <v>1321</v>
      </c>
      <c r="BG584" s="3" t="s">
        <v>28</v>
      </c>
    </row>
    <row r="585" spans="1:60" x14ac:dyDescent="0.3">
      <c r="A585" s="3" t="s">
        <v>1145</v>
      </c>
      <c r="B585" s="3" t="s">
        <v>26</v>
      </c>
      <c r="C585" s="3">
        <v>15</v>
      </c>
      <c r="D585" s="3">
        <v>5</v>
      </c>
      <c r="E585" s="4">
        <v>10</v>
      </c>
      <c r="F585" s="4">
        <v>10</v>
      </c>
      <c r="I585" s="4">
        <v>10</v>
      </c>
      <c r="J585" s="4">
        <v>10</v>
      </c>
      <c r="K585" s="4">
        <v>10</v>
      </c>
      <c r="L585" s="4">
        <v>10</v>
      </c>
      <c r="S585" s="4">
        <v>10</v>
      </c>
      <c r="T585" s="4">
        <v>10</v>
      </c>
      <c r="AW585" s="4">
        <v>10</v>
      </c>
      <c r="AX585" s="4">
        <v>10</v>
      </c>
      <c r="AY585" s="3" t="s">
        <v>22</v>
      </c>
      <c r="AZ585" s="3" t="s">
        <v>22</v>
      </c>
      <c r="BD585" s="3" t="s">
        <v>656</v>
      </c>
      <c r="BE585" s="3" t="s">
        <v>623</v>
      </c>
      <c r="BF585" s="3" t="s">
        <v>1322</v>
      </c>
      <c r="BG585" s="3" t="s">
        <v>1323</v>
      </c>
    </row>
  </sheetData>
  <autoFilter ref="A1:BJ585" xr:uid="{0D5D4D2F-37AA-4978-8186-609EF6C1846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13A1-4BB5-4DBC-9EFA-70D8331B81BB}">
  <dimension ref="A1:C24"/>
  <sheetViews>
    <sheetView topLeftCell="A23" workbookViewId="0">
      <pane xSplit="3" topLeftCell="D1" activePane="topRight" state="frozen"/>
      <selection pane="topRight" sqref="A1:C24"/>
    </sheetView>
  </sheetViews>
  <sheetFormatPr baseColWidth="10" defaultRowHeight="14.4" x14ac:dyDescent="0.3"/>
  <cols>
    <col min="1" max="1" width="21.6640625" bestFit="1" customWidth="1"/>
    <col min="2" max="2" width="11.109375" bestFit="1" customWidth="1"/>
    <col min="3" max="3" width="13.44140625" bestFit="1" customWidth="1"/>
  </cols>
  <sheetData>
    <row r="1" spans="1:3" ht="31.2" x14ac:dyDescent="0.3">
      <c r="A1" s="6" t="s">
        <v>1330</v>
      </c>
      <c r="B1" s="6" t="s">
        <v>1331</v>
      </c>
      <c r="C1" s="1" t="s">
        <v>1332</v>
      </c>
    </row>
    <row r="2" spans="1:3" ht="109.2" x14ac:dyDescent="0.3">
      <c r="A2" s="7" t="s">
        <v>1325</v>
      </c>
      <c r="B2" s="7" t="s">
        <v>1324</v>
      </c>
      <c r="C2" s="2" t="s">
        <v>114</v>
      </c>
    </row>
    <row r="3" spans="1:3" ht="109.2" x14ac:dyDescent="0.3">
      <c r="A3" s="7" t="s">
        <v>1326</v>
      </c>
      <c r="B3" s="7" t="s">
        <v>1324</v>
      </c>
      <c r="C3" s="2" t="s">
        <v>1</v>
      </c>
    </row>
    <row r="4" spans="1:3" ht="187.2" x14ac:dyDescent="0.3">
      <c r="A4" s="7" t="s">
        <v>1326</v>
      </c>
      <c r="B4" s="7" t="s">
        <v>1324</v>
      </c>
      <c r="C4" s="2" t="s">
        <v>605</v>
      </c>
    </row>
    <row r="5" spans="1:3" ht="124.8" x14ac:dyDescent="0.3">
      <c r="A5" s="7" t="s">
        <v>1325</v>
      </c>
      <c r="B5" s="7" t="s">
        <v>1324</v>
      </c>
      <c r="C5" s="2" t="s">
        <v>6</v>
      </c>
    </row>
    <row r="6" spans="1:3" ht="140.4" x14ac:dyDescent="0.3">
      <c r="A6" s="7" t="s">
        <v>1329</v>
      </c>
      <c r="B6" s="7" t="s">
        <v>1328</v>
      </c>
      <c r="C6" s="2" t="s">
        <v>3</v>
      </c>
    </row>
    <row r="7" spans="1:3" ht="140.4" x14ac:dyDescent="0.3">
      <c r="A7" s="7" t="s">
        <v>1329</v>
      </c>
      <c r="B7" s="7" t="s">
        <v>1327</v>
      </c>
      <c r="C7" s="2" t="s">
        <v>116</v>
      </c>
    </row>
    <row r="8" spans="1:3" ht="140.4" x14ac:dyDescent="0.3">
      <c r="A8" s="7" t="s">
        <v>1329</v>
      </c>
      <c r="B8" s="7" t="s">
        <v>1324</v>
      </c>
      <c r="C8" s="2" t="s">
        <v>118</v>
      </c>
    </row>
    <row r="9" spans="1:3" ht="124.8" x14ac:dyDescent="0.3">
      <c r="A9" s="7" t="s">
        <v>1329</v>
      </c>
      <c r="B9" s="7" t="s">
        <v>1328</v>
      </c>
      <c r="C9" s="2" t="s">
        <v>120</v>
      </c>
    </row>
    <row r="10" spans="1:3" ht="124.8" x14ac:dyDescent="0.3">
      <c r="A10" s="7" t="s">
        <v>1326</v>
      </c>
      <c r="B10" s="7" t="s">
        <v>1324</v>
      </c>
      <c r="C10" s="2" t="s">
        <v>122</v>
      </c>
    </row>
    <row r="11" spans="1:3" ht="140.4" x14ac:dyDescent="0.3">
      <c r="A11" s="7" t="s">
        <v>1326</v>
      </c>
      <c r="B11" s="7" t="s">
        <v>1328</v>
      </c>
      <c r="C11" s="2" t="s">
        <v>124</v>
      </c>
    </row>
    <row r="12" spans="1:3" ht="109.2" x14ac:dyDescent="0.3">
      <c r="A12" s="7" t="s">
        <v>1329</v>
      </c>
      <c r="B12" s="7" t="s">
        <v>1328</v>
      </c>
      <c r="C12" s="2" t="s">
        <v>8</v>
      </c>
    </row>
    <row r="13" spans="1:3" ht="140.4" x14ac:dyDescent="0.3">
      <c r="A13" s="7" t="s">
        <v>1326</v>
      </c>
      <c r="B13" s="7" t="s">
        <v>1324</v>
      </c>
      <c r="C13" s="2" t="s">
        <v>126</v>
      </c>
    </row>
    <row r="14" spans="1:3" ht="124.8" x14ac:dyDescent="0.3">
      <c r="A14" s="7" t="s">
        <v>1326</v>
      </c>
      <c r="B14" s="7" t="s">
        <v>1324</v>
      </c>
      <c r="C14" s="2" t="s">
        <v>127</v>
      </c>
    </row>
    <row r="15" spans="1:3" ht="109.2" x14ac:dyDescent="0.3">
      <c r="A15" s="7" t="s">
        <v>1329</v>
      </c>
      <c r="B15" s="7" t="s">
        <v>1328</v>
      </c>
      <c r="C15" s="2" t="s">
        <v>129</v>
      </c>
    </row>
    <row r="16" spans="1:3" ht="187.2" x14ac:dyDescent="0.3">
      <c r="A16" s="7" t="s">
        <v>1329</v>
      </c>
      <c r="B16" s="7" t="s">
        <v>1328</v>
      </c>
      <c r="C16" s="2" t="s">
        <v>131</v>
      </c>
    </row>
    <row r="17" spans="1:3" ht="140.4" x14ac:dyDescent="0.3">
      <c r="A17" s="7" t="s">
        <v>1329</v>
      </c>
      <c r="B17" s="7" t="s">
        <v>1324</v>
      </c>
      <c r="C17" s="2" t="s">
        <v>133</v>
      </c>
    </row>
    <row r="18" spans="1:3" ht="156" x14ac:dyDescent="0.3">
      <c r="A18" s="7" t="s">
        <v>1329</v>
      </c>
      <c r="B18" s="7" t="s">
        <v>1328</v>
      </c>
      <c r="C18" s="2" t="s">
        <v>603</v>
      </c>
    </row>
    <row r="19" spans="1:3" ht="202.8" x14ac:dyDescent="0.3">
      <c r="A19" s="7" t="s">
        <v>1329</v>
      </c>
      <c r="B19" s="7" t="s">
        <v>1324</v>
      </c>
      <c r="C19" s="2" t="s">
        <v>607</v>
      </c>
    </row>
    <row r="20" spans="1:3" ht="156" x14ac:dyDescent="0.3">
      <c r="A20" s="7" t="s">
        <v>1326</v>
      </c>
      <c r="B20" s="7" t="s">
        <v>1328</v>
      </c>
      <c r="C20" s="2" t="s">
        <v>609</v>
      </c>
    </row>
    <row r="21" spans="1:3" ht="171.6" x14ac:dyDescent="0.3">
      <c r="A21" s="7" t="s">
        <v>1329</v>
      </c>
      <c r="B21" s="7" t="s">
        <v>1328</v>
      </c>
      <c r="C21" s="2" t="s">
        <v>611</v>
      </c>
    </row>
    <row r="22" spans="1:3" ht="156" x14ac:dyDescent="0.3">
      <c r="A22" s="7" t="s">
        <v>1326</v>
      </c>
      <c r="B22" s="7" t="s">
        <v>1328</v>
      </c>
      <c r="C22" s="2" t="s">
        <v>613</v>
      </c>
    </row>
    <row r="23" spans="1:3" ht="187.2" x14ac:dyDescent="0.3">
      <c r="A23" s="7" t="s">
        <v>1326</v>
      </c>
      <c r="B23" s="7" t="s">
        <v>1324</v>
      </c>
      <c r="C23" s="2" t="s">
        <v>601</v>
      </c>
    </row>
    <row r="24" spans="1:3" ht="156" x14ac:dyDescent="0.3">
      <c r="A24" s="7" t="s">
        <v>1329</v>
      </c>
      <c r="B24" s="7" t="s">
        <v>1327</v>
      </c>
      <c r="C24" s="2" t="s">
        <v>1135</v>
      </c>
    </row>
  </sheetData>
  <dataValidations count="2">
    <dataValidation type="list" allowBlank="1" showInputMessage="1" showErrorMessage="1" sqref="A2:A24" xr:uid="{1F78C2AD-72A3-4F10-8BED-E9FB6357D597}">
      <formula1>"Estudiante Universitario, Investigador Joven, Profesor Senior,"</formula1>
    </dataValidation>
    <dataValidation type="list" allowBlank="1" showInputMessage="1" showErrorMessage="1" sqref="B2:B24" xr:uid="{7A99C746-A6D0-4633-8F73-2AAA40151AC2}">
      <formula1>"Hombre,Mujer,Mixto"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Resultados globales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Doroteya Dimitrova Angelova</dc:creator>
  <cp:lastModifiedBy>Doroteya Dimitrova Angelova</cp:lastModifiedBy>
  <dcterms:created xsi:type="dcterms:W3CDTF">2026-07-22T09:03:09Z</dcterms:created>
  <dcterms:modified xsi:type="dcterms:W3CDTF">2026-07-28T08:22:32Z</dcterms:modified>
</cp:coreProperties>
</file>